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itrij/PycharmProjects/ITMO/1 course/info/lab5/"/>
    </mc:Choice>
  </mc:AlternateContent>
  <xr:revisionPtr revIDLastSave="0" documentId="8_{B51595A6-5D72-1F4F-BEBE-E0F7545E4752}" xr6:coauthVersionLast="47" xr6:coauthVersionMax="47" xr10:uidLastSave="{00000000-0000-0000-0000-000000000000}"/>
  <bookViews>
    <workbookView xWindow="1400" yWindow="1380" windowWidth="27840" windowHeight="16520" xr2:uid="{AD49BED6-10AC-3541-9F78-00BAF32A7EF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1" l="1"/>
  <c r="R14" i="1"/>
  <c r="C14" i="1"/>
  <c r="Q14" i="1" s="1"/>
  <c r="S12" i="1"/>
  <c r="R12" i="1"/>
  <c r="Q12" i="1"/>
  <c r="O12" i="1"/>
  <c r="C12" i="1"/>
  <c r="N12" i="1" s="1"/>
  <c r="S9" i="1"/>
  <c r="C9" i="1"/>
  <c r="R9" i="1" s="1"/>
  <c r="Y8" i="1"/>
  <c r="S8" i="1"/>
  <c r="R8" i="1"/>
  <c r="Q8" i="1"/>
  <c r="O8" i="1"/>
  <c r="N8" i="1"/>
  <c r="M8" i="1"/>
  <c r="L8" i="1"/>
  <c r="J8" i="1"/>
  <c r="C8" i="1"/>
  <c r="X8" i="1" s="1"/>
  <c r="S7" i="1"/>
  <c r="R7" i="1"/>
  <c r="Q7" i="1"/>
  <c r="C7" i="1"/>
  <c r="O7" i="1" s="1"/>
  <c r="Y6" i="1"/>
  <c r="X6" i="1"/>
  <c r="W6" i="1"/>
  <c r="Q6" i="1"/>
  <c r="O6" i="1"/>
  <c r="N6" i="1"/>
  <c r="M6" i="1"/>
  <c r="L6" i="1"/>
  <c r="J6" i="1"/>
  <c r="I6" i="1"/>
  <c r="H6" i="1"/>
  <c r="C6" i="1"/>
  <c r="V6" i="1" s="1"/>
  <c r="S5" i="1"/>
  <c r="R5" i="1"/>
  <c r="Q5" i="1"/>
  <c r="O5" i="1"/>
  <c r="N5" i="1"/>
  <c r="C5" i="1"/>
  <c r="C11" i="1" s="1"/>
  <c r="C4" i="1"/>
  <c r="S4" i="1" s="1"/>
  <c r="T11" i="1" l="1"/>
  <c r="N11" i="1"/>
  <c r="L11" i="1"/>
  <c r="Y11" i="1"/>
  <c r="G11" i="1"/>
  <c r="S11" i="1"/>
  <c r="X11" i="1"/>
  <c r="I11" i="1"/>
  <c r="W11" i="1"/>
  <c r="H11" i="1"/>
  <c r="R11" i="1"/>
  <c r="Q11" i="1"/>
  <c r="O11" i="1"/>
  <c r="M11" i="1"/>
  <c r="J11" i="1"/>
  <c r="V11" i="1"/>
  <c r="T4" i="1"/>
  <c r="G4" i="1"/>
  <c r="T14" i="1"/>
  <c r="X4" i="1"/>
  <c r="T7" i="1"/>
  <c r="J4" i="1"/>
  <c r="V7" i="1"/>
  <c r="I9" i="1"/>
  <c r="J9" i="1"/>
  <c r="Y9" i="1"/>
  <c r="G12" i="1"/>
  <c r="V12" i="1"/>
  <c r="I14" i="1"/>
  <c r="X14" i="1"/>
  <c r="T9" i="1"/>
  <c r="W4" i="1"/>
  <c r="G7" i="1"/>
  <c r="X9" i="1"/>
  <c r="H14" i="1"/>
  <c r="X7" i="1"/>
  <c r="Y7" i="1"/>
  <c r="M9" i="1"/>
  <c r="T8" i="1"/>
  <c r="Y12" i="1"/>
  <c r="M14" i="1"/>
  <c r="J5" i="1"/>
  <c r="Y5" i="1"/>
  <c r="M7" i="1"/>
  <c r="V8" i="1"/>
  <c r="O9" i="1"/>
  <c r="L12" i="1"/>
  <c r="C13" i="1"/>
  <c r="N14" i="1"/>
  <c r="G9" i="1"/>
  <c r="I4" i="1"/>
  <c r="V14" i="1"/>
  <c r="T12" i="1"/>
  <c r="L4" i="1"/>
  <c r="T5" i="1"/>
  <c r="I12" i="1"/>
  <c r="X12" i="1"/>
  <c r="L14" i="1"/>
  <c r="C15" i="1"/>
  <c r="I5" i="1"/>
  <c r="X5" i="1"/>
  <c r="R6" i="1"/>
  <c r="L7" i="1"/>
  <c r="N9" i="1"/>
  <c r="J12" i="1"/>
  <c r="Q4" i="1"/>
  <c r="S6" i="1"/>
  <c r="G8" i="1"/>
  <c r="R4" i="1"/>
  <c r="L5" i="1"/>
  <c r="T6" i="1"/>
  <c r="N7" i="1"/>
  <c r="H8" i="1"/>
  <c r="W8" i="1"/>
  <c r="Q9" i="1"/>
  <c r="M12" i="1"/>
  <c r="O14" i="1"/>
  <c r="V4" i="1"/>
  <c r="H4" i="1"/>
  <c r="V9" i="1"/>
  <c r="H9" i="1"/>
  <c r="W9" i="1"/>
  <c r="G14" i="1"/>
  <c r="Y4" i="1"/>
  <c r="W14" i="1"/>
  <c r="H7" i="1"/>
  <c r="W7" i="1"/>
  <c r="M4" i="1"/>
  <c r="G5" i="1"/>
  <c r="V5" i="1"/>
  <c r="I7" i="1"/>
  <c r="L9" i="1"/>
  <c r="C10" i="1"/>
  <c r="H12" i="1"/>
  <c r="W12" i="1"/>
  <c r="J14" i="1"/>
  <c r="Y14" i="1"/>
  <c r="N4" i="1"/>
  <c r="H5" i="1"/>
  <c r="W5" i="1"/>
  <c r="J7" i="1"/>
  <c r="O4" i="1"/>
  <c r="M5" i="1"/>
  <c r="G6" i="1"/>
  <c r="I8" i="1"/>
  <c r="W13" i="1" l="1"/>
  <c r="H13" i="1"/>
  <c r="Q13" i="1"/>
  <c r="X13" i="1"/>
  <c r="V13" i="1"/>
  <c r="G13" i="1"/>
  <c r="R13" i="1"/>
  <c r="M13" i="1"/>
  <c r="J13" i="1"/>
  <c r="T13" i="1"/>
  <c r="S13" i="1"/>
  <c r="N13" i="1"/>
  <c r="O13" i="1"/>
  <c r="L13" i="1"/>
  <c r="Y13" i="1"/>
  <c r="I13" i="1"/>
  <c r="L10" i="1"/>
  <c r="G10" i="1"/>
  <c r="T10" i="1"/>
  <c r="Q10" i="1"/>
  <c r="Y10" i="1"/>
  <c r="J10" i="1"/>
  <c r="I10" i="1"/>
  <c r="V10" i="1"/>
  <c r="R10" i="1"/>
  <c r="O10" i="1"/>
  <c r="N10" i="1"/>
  <c r="X10" i="1"/>
  <c r="W10" i="1"/>
  <c r="H10" i="1"/>
  <c r="S10" i="1"/>
  <c r="M10" i="1"/>
  <c r="Y15" i="1"/>
  <c r="J15" i="1"/>
  <c r="T15" i="1"/>
  <c r="S15" i="1"/>
  <c r="X15" i="1"/>
  <c r="I15" i="1"/>
  <c r="G15" i="1"/>
  <c r="Q15" i="1"/>
  <c r="W15" i="1"/>
  <c r="H15" i="1"/>
  <c r="V15" i="1"/>
  <c r="O15" i="1"/>
  <c r="M15" i="1"/>
  <c r="L15" i="1"/>
  <c r="R15" i="1"/>
  <c r="N15" i="1"/>
</calcChain>
</file>

<file path=xl/sharedStrings.xml><?xml version="1.0" encoding="utf-8"?>
<sst xmlns="http://schemas.openxmlformats.org/spreadsheetml/2006/main" count="83" uniqueCount="43">
  <si>
    <t>A =</t>
  </si>
  <si>
    <t>C =</t>
  </si>
  <si>
    <t>.</t>
  </si>
  <si>
    <t>X1 =</t>
  </si>
  <si>
    <t>B1 =</t>
  </si>
  <si>
    <t>X2 =</t>
  </si>
  <si>
    <t>B2 =</t>
  </si>
  <si>
    <t>X3 =</t>
  </si>
  <si>
    <t>A + C =</t>
  </si>
  <si>
    <t>B3 =</t>
  </si>
  <si>
    <t>X4 =</t>
  </si>
  <si>
    <t>A + C + C =</t>
  </si>
  <si>
    <t>B4 =</t>
  </si>
  <si>
    <t>X5 =</t>
  </si>
  <si>
    <t>C - A =</t>
  </si>
  <si>
    <t>B5 =</t>
  </si>
  <si>
    <t>X6 =</t>
  </si>
  <si>
    <t>65536 - X4 =</t>
  </si>
  <si>
    <t xml:space="preserve">B6 = </t>
  </si>
  <si>
    <t>X7 =</t>
  </si>
  <si>
    <t>-X1 =</t>
  </si>
  <si>
    <t>B7 =</t>
  </si>
  <si>
    <t>-B1 =</t>
  </si>
  <si>
    <t>X8 =</t>
  </si>
  <si>
    <t>-X2 =</t>
  </si>
  <si>
    <t>B8 =</t>
  </si>
  <si>
    <t>-B2 =</t>
  </si>
  <si>
    <t>X9 =</t>
  </si>
  <si>
    <t>-X3 =</t>
  </si>
  <si>
    <t>B9 =</t>
  </si>
  <si>
    <t>-B3 =</t>
  </si>
  <si>
    <t>X10 =</t>
  </si>
  <si>
    <t>-X4 =</t>
  </si>
  <si>
    <t>B10 =</t>
  </si>
  <si>
    <t>-B4 =</t>
  </si>
  <si>
    <t>X11 =</t>
  </si>
  <si>
    <t>-X5 =</t>
  </si>
  <si>
    <t>B11 =</t>
  </si>
  <si>
    <t>-B5 =</t>
  </si>
  <si>
    <t>X12 =</t>
  </si>
  <si>
    <t>-X6 =</t>
  </si>
  <si>
    <t>B12 =</t>
  </si>
  <si>
    <t>-B6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</si>
</sst>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9"/>
      <color theme="2" tint="-0.499984740745262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973F5-69BC-A04A-9687-0945076BA6DD}">
  <dimension ref="A1:Y15"/>
  <sheetViews>
    <sheetView tabSelected="1" workbookViewId="0">
      <selection sqref="A1:Y15"/>
    </sheetView>
  </sheetViews>
  <sheetFormatPr baseColWidth="10" defaultRowHeight="16" x14ac:dyDescent="0.2"/>
  <sheetData>
    <row r="1" spans="1:25" x14ac:dyDescent="0.2">
      <c r="A1" s="1"/>
      <c r="B1" s="1" t="s">
        <v>0</v>
      </c>
      <c r="C1" s="1">
        <v>4982</v>
      </c>
      <c r="D1" s="1"/>
      <c r="E1" s="1">
        <v>4982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1"/>
      <c r="B2" s="1" t="s">
        <v>1</v>
      </c>
      <c r="C2" s="1">
        <v>15116</v>
      </c>
      <c r="D2" s="1"/>
      <c r="E2" s="1">
        <v>15116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">
      <c r="A3" s="1"/>
      <c r="B3" s="1"/>
      <c r="C3" s="1"/>
      <c r="D3" s="1"/>
      <c r="E3" s="1"/>
      <c r="F3" s="1"/>
      <c r="G3" s="2">
        <v>15</v>
      </c>
      <c r="H3" s="2">
        <v>14</v>
      </c>
      <c r="I3" s="2">
        <v>13</v>
      </c>
      <c r="J3" s="2">
        <v>12</v>
      </c>
      <c r="K3" s="2" t="s">
        <v>2</v>
      </c>
      <c r="L3" s="2">
        <v>11</v>
      </c>
      <c r="M3" s="2">
        <v>10</v>
      </c>
      <c r="N3" s="2">
        <v>9</v>
      </c>
      <c r="O3" s="2">
        <v>8</v>
      </c>
      <c r="P3" s="2" t="s">
        <v>2</v>
      </c>
      <c r="Q3" s="2">
        <v>7</v>
      </c>
      <c r="R3" s="2">
        <v>6</v>
      </c>
      <c r="S3" s="2">
        <v>5</v>
      </c>
      <c r="T3" s="2">
        <v>4</v>
      </c>
      <c r="U3" s="2" t="s">
        <v>2</v>
      </c>
      <c r="V3" s="2">
        <v>3</v>
      </c>
      <c r="W3" s="2">
        <v>2</v>
      </c>
      <c r="X3" s="2">
        <v>1</v>
      </c>
      <c r="Y3" s="2">
        <v>0</v>
      </c>
    </row>
    <row r="4" spans="1:25" x14ac:dyDescent="0.2">
      <c r="A4" s="1" t="s">
        <v>3</v>
      </c>
      <c r="B4" s="1" t="s">
        <v>0</v>
      </c>
      <c r="C4" s="1">
        <f>C1</f>
        <v>4982</v>
      </c>
      <c r="D4" s="1"/>
      <c r="E4" s="1" t="s">
        <v>4</v>
      </c>
      <c r="F4" s="1"/>
      <c r="G4" s="1" t="str">
        <f>MID(IF($C4&gt;0,_xlfn.BASE($C4,2,16),_xlfn.BASE($C4+2^16,2,16)),16-G$3,1)</f>
        <v>0</v>
      </c>
      <c r="H4" s="1" t="str">
        <f t="shared" ref="H4:J15" si="0">MID(IF($C4&gt;0,_xlfn.BASE($C4,2,16),_xlfn.BASE($C4+2^16,2,16)),16-H$3,1)</f>
        <v>0</v>
      </c>
      <c r="I4" s="1" t="str">
        <f t="shared" si="0"/>
        <v>0</v>
      </c>
      <c r="J4" s="1" t="str">
        <f t="shared" si="0"/>
        <v>1</v>
      </c>
      <c r="K4" s="1" t="s">
        <v>2</v>
      </c>
      <c r="L4" s="1" t="str">
        <f>MID(IF($C4&gt;0,_xlfn.BASE($C4,2,16),_xlfn.BASE($C4+2^16,2,16)),16-L$3,1)</f>
        <v>0</v>
      </c>
      <c r="M4" s="1" t="str">
        <f t="shared" ref="M4:O15" si="1">MID(IF($C4&gt;0,_xlfn.BASE($C4,2,16),_xlfn.BASE($C4+2^16,2,16)),16-M$3,1)</f>
        <v>0</v>
      </c>
      <c r="N4" s="1" t="str">
        <f t="shared" si="1"/>
        <v>1</v>
      </c>
      <c r="O4" s="1" t="str">
        <f t="shared" si="1"/>
        <v>1</v>
      </c>
      <c r="P4" s="1" t="s">
        <v>2</v>
      </c>
      <c r="Q4" s="1" t="str">
        <f>MID(IF($C4&gt;0,_xlfn.BASE($C4,2,16),_xlfn.BASE($C4+2^16,2,16)),16-Q$3,1)</f>
        <v>0</v>
      </c>
      <c r="R4" s="1" t="str">
        <f t="shared" ref="R4:T15" si="2">MID(IF($C4&gt;0,_xlfn.BASE($C4,2,16),_xlfn.BASE($C4+2^16,2,16)),16-R$3,1)</f>
        <v>1</v>
      </c>
      <c r="S4" s="1" t="str">
        <f t="shared" si="2"/>
        <v>1</v>
      </c>
      <c r="T4" s="1" t="str">
        <f t="shared" si="2"/>
        <v>1</v>
      </c>
      <c r="U4" s="1" t="s">
        <v>2</v>
      </c>
      <c r="V4" s="1" t="str">
        <f>MID(IF($C4&gt;0,_xlfn.BASE($C4,2,16),_xlfn.BASE($C4+2^16,2,16)),16-V$3,1)</f>
        <v>0</v>
      </c>
      <c r="W4" s="1" t="str">
        <f t="shared" ref="W4:Y15" si="3">MID(IF($C4&gt;0,_xlfn.BASE($C4,2,16),_xlfn.BASE($C4+2^16,2,16)),16-W$3,1)</f>
        <v>1</v>
      </c>
      <c r="X4" s="1" t="str">
        <f t="shared" si="3"/>
        <v>1</v>
      </c>
      <c r="Y4" s="1" t="str">
        <f t="shared" si="3"/>
        <v>0</v>
      </c>
    </row>
    <row r="5" spans="1:25" x14ac:dyDescent="0.2">
      <c r="A5" s="1" t="s">
        <v>5</v>
      </c>
      <c r="B5" s="1" t="s">
        <v>1</v>
      </c>
      <c r="C5" s="1">
        <f>C2</f>
        <v>15116</v>
      </c>
      <c r="D5" s="1"/>
      <c r="E5" s="1" t="s">
        <v>6</v>
      </c>
      <c r="F5" s="1"/>
      <c r="G5" s="1" t="str">
        <f t="shared" ref="G5:G15" si="4">MID(IF($C5&gt;0,_xlfn.BASE($C5,2,16),_xlfn.BASE($C5+2^16,2,16)),16-G$3,1)</f>
        <v>0</v>
      </c>
      <c r="H5" s="1" t="str">
        <f t="shared" si="0"/>
        <v>0</v>
      </c>
      <c r="I5" s="1" t="str">
        <f t="shared" si="0"/>
        <v>1</v>
      </c>
      <c r="J5" s="1" t="str">
        <f t="shared" si="0"/>
        <v>1</v>
      </c>
      <c r="K5" s="1" t="s">
        <v>2</v>
      </c>
      <c r="L5" s="1" t="str">
        <f t="shared" ref="L5:L15" si="5">MID(IF($C5&gt;0,_xlfn.BASE($C5,2,16),_xlfn.BASE($C5+2^16,2,16)),16-L$3,1)</f>
        <v>1</v>
      </c>
      <c r="M5" s="1" t="str">
        <f t="shared" si="1"/>
        <v>0</v>
      </c>
      <c r="N5" s="1" t="str">
        <f t="shared" si="1"/>
        <v>1</v>
      </c>
      <c r="O5" s="1" t="str">
        <f t="shared" si="1"/>
        <v>1</v>
      </c>
      <c r="P5" s="1" t="s">
        <v>2</v>
      </c>
      <c r="Q5" s="1" t="str">
        <f t="shared" ref="Q5:Q15" si="6">MID(IF($C5&gt;0,_xlfn.BASE($C5,2,16),_xlfn.BASE($C5+2^16,2,16)),16-Q$3,1)</f>
        <v>0</v>
      </c>
      <c r="R5" s="1" t="str">
        <f t="shared" si="2"/>
        <v>0</v>
      </c>
      <c r="S5" s="1" t="str">
        <f t="shared" si="2"/>
        <v>0</v>
      </c>
      <c r="T5" s="1" t="str">
        <f t="shared" si="2"/>
        <v>0</v>
      </c>
      <c r="U5" s="1" t="s">
        <v>2</v>
      </c>
      <c r="V5" s="1" t="str">
        <f t="shared" ref="V5:V15" si="7">MID(IF($C5&gt;0,_xlfn.BASE($C5,2,16),_xlfn.BASE($C5+2^16,2,16)),16-V$3,1)</f>
        <v>1</v>
      </c>
      <c r="W5" s="1" t="str">
        <f t="shared" si="3"/>
        <v>1</v>
      </c>
      <c r="X5" s="1" t="str">
        <f t="shared" si="3"/>
        <v>0</v>
      </c>
      <c r="Y5" s="1" t="str">
        <f t="shared" si="3"/>
        <v>0</v>
      </c>
    </row>
    <row r="6" spans="1:25" x14ac:dyDescent="0.2">
      <c r="A6" s="1" t="s">
        <v>7</v>
      </c>
      <c r="B6" s="1" t="s">
        <v>8</v>
      </c>
      <c r="C6" s="1">
        <f>C1+C2</f>
        <v>20098</v>
      </c>
      <c r="D6" s="1"/>
      <c r="E6" s="1" t="s">
        <v>9</v>
      </c>
      <c r="F6" s="1"/>
      <c r="G6" s="1" t="str">
        <f t="shared" si="4"/>
        <v>0</v>
      </c>
      <c r="H6" s="1" t="str">
        <f t="shared" si="0"/>
        <v>1</v>
      </c>
      <c r="I6" s="1" t="str">
        <f t="shared" si="0"/>
        <v>0</v>
      </c>
      <c r="J6" s="1" t="str">
        <f t="shared" si="0"/>
        <v>0</v>
      </c>
      <c r="K6" s="1" t="s">
        <v>2</v>
      </c>
      <c r="L6" s="1" t="str">
        <f t="shared" si="5"/>
        <v>1</v>
      </c>
      <c r="M6" s="1" t="str">
        <f t="shared" si="1"/>
        <v>1</v>
      </c>
      <c r="N6" s="1" t="str">
        <f t="shared" si="1"/>
        <v>1</v>
      </c>
      <c r="O6" s="1" t="str">
        <f t="shared" si="1"/>
        <v>0</v>
      </c>
      <c r="P6" s="1" t="s">
        <v>2</v>
      </c>
      <c r="Q6" s="1" t="str">
        <f t="shared" si="6"/>
        <v>1</v>
      </c>
      <c r="R6" s="1" t="str">
        <f t="shared" si="2"/>
        <v>0</v>
      </c>
      <c r="S6" s="1" t="str">
        <f t="shared" si="2"/>
        <v>0</v>
      </c>
      <c r="T6" s="1" t="str">
        <f t="shared" si="2"/>
        <v>0</v>
      </c>
      <c r="U6" s="1" t="s">
        <v>2</v>
      </c>
      <c r="V6" s="1" t="str">
        <f t="shared" si="7"/>
        <v>0</v>
      </c>
      <c r="W6" s="1" t="str">
        <f t="shared" si="3"/>
        <v>0</v>
      </c>
      <c r="X6" s="1" t="str">
        <f t="shared" si="3"/>
        <v>1</v>
      </c>
      <c r="Y6" s="1" t="str">
        <f t="shared" si="3"/>
        <v>0</v>
      </c>
    </row>
    <row r="7" spans="1:25" x14ac:dyDescent="0.2">
      <c r="A7" s="1" t="s">
        <v>10</v>
      </c>
      <c r="B7" s="1" t="s">
        <v>11</v>
      </c>
      <c r="C7" s="1">
        <f>C1+C2+C2</f>
        <v>35214</v>
      </c>
      <c r="D7" s="1"/>
      <c r="E7" s="1" t="s">
        <v>12</v>
      </c>
      <c r="F7" s="1"/>
      <c r="G7" s="1" t="str">
        <f t="shared" si="4"/>
        <v>1</v>
      </c>
      <c r="H7" s="1" t="str">
        <f t="shared" si="0"/>
        <v>0</v>
      </c>
      <c r="I7" s="1" t="str">
        <f t="shared" si="0"/>
        <v>0</v>
      </c>
      <c r="J7" s="1" t="str">
        <f t="shared" si="0"/>
        <v>0</v>
      </c>
      <c r="K7" s="1" t="s">
        <v>2</v>
      </c>
      <c r="L7" s="1" t="str">
        <f t="shared" si="5"/>
        <v>1</v>
      </c>
      <c r="M7" s="1" t="str">
        <f t="shared" si="1"/>
        <v>0</v>
      </c>
      <c r="N7" s="1" t="str">
        <f t="shared" si="1"/>
        <v>0</v>
      </c>
      <c r="O7" s="1" t="str">
        <f t="shared" si="1"/>
        <v>1</v>
      </c>
      <c r="P7" s="1" t="s">
        <v>2</v>
      </c>
      <c r="Q7" s="1" t="str">
        <f t="shared" si="6"/>
        <v>1</v>
      </c>
      <c r="R7" s="1" t="str">
        <f t="shared" si="2"/>
        <v>0</v>
      </c>
      <c r="S7" s="1" t="str">
        <f t="shared" si="2"/>
        <v>0</v>
      </c>
      <c r="T7" s="1" t="str">
        <f t="shared" si="2"/>
        <v>0</v>
      </c>
      <c r="U7" s="1" t="s">
        <v>2</v>
      </c>
      <c r="V7" s="1" t="str">
        <f t="shared" si="7"/>
        <v>1</v>
      </c>
      <c r="W7" s="1" t="str">
        <f t="shared" si="3"/>
        <v>1</v>
      </c>
      <c r="X7" s="1" t="str">
        <f t="shared" si="3"/>
        <v>1</v>
      </c>
      <c r="Y7" s="1" t="str">
        <f t="shared" si="3"/>
        <v>0</v>
      </c>
    </row>
    <row r="8" spans="1:25" x14ac:dyDescent="0.2">
      <c r="A8" s="1" t="s">
        <v>13</v>
      </c>
      <c r="B8" s="1" t="s">
        <v>14</v>
      </c>
      <c r="C8" s="1">
        <f>C2-C1</f>
        <v>10134</v>
      </c>
      <c r="D8" s="1"/>
      <c r="E8" s="1" t="s">
        <v>15</v>
      </c>
      <c r="F8" s="1"/>
      <c r="G8" s="1" t="str">
        <f t="shared" si="4"/>
        <v>0</v>
      </c>
      <c r="H8" s="1" t="str">
        <f t="shared" si="0"/>
        <v>0</v>
      </c>
      <c r="I8" s="1" t="str">
        <f t="shared" si="0"/>
        <v>1</v>
      </c>
      <c r="J8" s="1" t="str">
        <f t="shared" si="0"/>
        <v>0</v>
      </c>
      <c r="K8" s="1" t="s">
        <v>2</v>
      </c>
      <c r="L8" s="1" t="str">
        <f t="shared" si="5"/>
        <v>0</v>
      </c>
      <c r="M8" s="1" t="str">
        <f t="shared" si="1"/>
        <v>1</v>
      </c>
      <c r="N8" s="1" t="str">
        <f t="shared" si="1"/>
        <v>1</v>
      </c>
      <c r="O8" s="1" t="str">
        <f t="shared" si="1"/>
        <v>1</v>
      </c>
      <c r="P8" s="1" t="s">
        <v>2</v>
      </c>
      <c r="Q8" s="1" t="str">
        <f t="shared" si="6"/>
        <v>1</v>
      </c>
      <c r="R8" s="1" t="str">
        <f t="shared" si="2"/>
        <v>0</v>
      </c>
      <c r="S8" s="1" t="str">
        <f t="shared" si="2"/>
        <v>0</v>
      </c>
      <c r="T8" s="1" t="str">
        <f t="shared" si="2"/>
        <v>1</v>
      </c>
      <c r="U8" s="1" t="s">
        <v>2</v>
      </c>
      <c r="V8" s="1" t="str">
        <f t="shared" si="7"/>
        <v>0</v>
      </c>
      <c r="W8" s="1" t="str">
        <f t="shared" si="3"/>
        <v>1</v>
      </c>
      <c r="X8" s="1" t="str">
        <f t="shared" si="3"/>
        <v>1</v>
      </c>
      <c r="Y8" s="1" t="str">
        <f t="shared" si="3"/>
        <v>0</v>
      </c>
    </row>
    <row r="9" spans="1:25" x14ac:dyDescent="0.2">
      <c r="A9" s="1" t="s">
        <v>16</v>
      </c>
      <c r="B9" s="1" t="s">
        <v>17</v>
      </c>
      <c r="C9" s="1">
        <f>65536-C7</f>
        <v>30322</v>
      </c>
      <c r="D9" s="1"/>
      <c r="E9" s="1" t="s">
        <v>18</v>
      </c>
      <c r="F9" s="1"/>
      <c r="G9" s="1" t="str">
        <f t="shared" si="4"/>
        <v>0</v>
      </c>
      <c r="H9" s="1" t="str">
        <f t="shared" si="0"/>
        <v>1</v>
      </c>
      <c r="I9" s="1" t="str">
        <f t="shared" si="0"/>
        <v>1</v>
      </c>
      <c r="J9" s="1" t="str">
        <f t="shared" si="0"/>
        <v>1</v>
      </c>
      <c r="K9" s="1" t="s">
        <v>2</v>
      </c>
      <c r="L9" s="1" t="str">
        <f t="shared" si="5"/>
        <v>0</v>
      </c>
      <c r="M9" s="1" t="str">
        <f t="shared" si="1"/>
        <v>1</v>
      </c>
      <c r="N9" s="1" t="str">
        <f t="shared" si="1"/>
        <v>1</v>
      </c>
      <c r="O9" s="1" t="str">
        <f t="shared" si="1"/>
        <v>0</v>
      </c>
      <c r="P9" s="1" t="s">
        <v>2</v>
      </c>
      <c r="Q9" s="1" t="str">
        <f t="shared" si="6"/>
        <v>0</v>
      </c>
      <c r="R9" s="1" t="str">
        <f t="shared" si="2"/>
        <v>1</v>
      </c>
      <c r="S9" s="1" t="str">
        <f t="shared" si="2"/>
        <v>1</v>
      </c>
      <c r="T9" s="1" t="str">
        <f t="shared" si="2"/>
        <v>1</v>
      </c>
      <c r="U9" s="1" t="s">
        <v>2</v>
      </c>
      <c r="V9" s="1" t="str">
        <f t="shared" si="7"/>
        <v>0</v>
      </c>
      <c r="W9" s="1" t="str">
        <f t="shared" si="3"/>
        <v>0</v>
      </c>
      <c r="X9" s="1" t="str">
        <f t="shared" si="3"/>
        <v>1</v>
      </c>
      <c r="Y9" s="1" t="str">
        <f t="shared" si="3"/>
        <v>0</v>
      </c>
    </row>
    <row r="10" spans="1:25" x14ac:dyDescent="0.2">
      <c r="A10" s="1" t="s">
        <v>19</v>
      </c>
      <c r="B10" s="3" t="s">
        <v>20</v>
      </c>
      <c r="C10" s="1">
        <f t="shared" ref="C10:C15" si="8">-C4</f>
        <v>-4982</v>
      </c>
      <c r="D10" s="1"/>
      <c r="E10" s="1" t="s">
        <v>21</v>
      </c>
      <c r="F10" s="3" t="s">
        <v>22</v>
      </c>
      <c r="G10" s="1" t="str">
        <f t="shared" si="4"/>
        <v>1</v>
      </c>
      <c r="H10" s="1" t="str">
        <f t="shared" si="0"/>
        <v>1</v>
      </c>
      <c r="I10" s="1" t="str">
        <f t="shared" si="0"/>
        <v>1</v>
      </c>
      <c r="J10" s="1" t="str">
        <f t="shared" si="0"/>
        <v>0</v>
      </c>
      <c r="K10" s="1" t="s">
        <v>2</v>
      </c>
      <c r="L10" s="1" t="str">
        <f t="shared" si="5"/>
        <v>1</v>
      </c>
      <c r="M10" s="1" t="str">
        <f t="shared" si="1"/>
        <v>1</v>
      </c>
      <c r="N10" s="1" t="str">
        <f t="shared" si="1"/>
        <v>0</v>
      </c>
      <c r="O10" s="1" t="str">
        <f t="shared" si="1"/>
        <v>0</v>
      </c>
      <c r="P10" s="1" t="s">
        <v>2</v>
      </c>
      <c r="Q10" s="1" t="str">
        <f t="shared" si="6"/>
        <v>1</v>
      </c>
      <c r="R10" s="1" t="str">
        <f t="shared" si="2"/>
        <v>0</v>
      </c>
      <c r="S10" s="1" t="str">
        <f t="shared" si="2"/>
        <v>0</v>
      </c>
      <c r="T10" s="1" t="str">
        <f t="shared" si="2"/>
        <v>0</v>
      </c>
      <c r="U10" s="1" t="s">
        <v>2</v>
      </c>
      <c r="V10" s="1" t="str">
        <f t="shared" si="7"/>
        <v>1</v>
      </c>
      <c r="W10" s="1" t="str">
        <f t="shared" si="3"/>
        <v>0</v>
      </c>
      <c r="X10" s="1" t="str">
        <f t="shared" si="3"/>
        <v>1</v>
      </c>
      <c r="Y10" s="1" t="str">
        <f t="shared" si="3"/>
        <v>0</v>
      </c>
    </row>
    <row r="11" spans="1:25" x14ac:dyDescent="0.2">
      <c r="A11" s="1" t="s">
        <v>23</v>
      </c>
      <c r="B11" s="3" t="s">
        <v>24</v>
      </c>
      <c r="C11" s="1">
        <f t="shared" si="8"/>
        <v>-15116</v>
      </c>
      <c r="D11" s="1"/>
      <c r="E11" s="1" t="s">
        <v>25</v>
      </c>
      <c r="F11" s="3" t="s">
        <v>26</v>
      </c>
      <c r="G11" s="1" t="str">
        <f t="shared" si="4"/>
        <v>1</v>
      </c>
      <c r="H11" s="1" t="str">
        <f t="shared" si="0"/>
        <v>1</v>
      </c>
      <c r="I11" s="1" t="str">
        <f t="shared" si="0"/>
        <v>0</v>
      </c>
      <c r="J11" s="1" t="str">
        <f t="shared" si="0"/>
        <v>0</v>
      </c>
      <c r="K11" s="1" t="s">
        <v>2</v>
      </c>
      <c r="L11" s="1" t="str">
        <f t="shared" si="5"/>
        <v>0</v>
      </c>
      <c r="M11" s="1" t="str">
        <f t="shared" si="1"/>
        <v>1</v>
      </c>
      <c r="N11" s="1" t="str">
        <f t="shared" si="1"/>
        <v>0</v>
      </c>
      <c r="O11" s="1" t="str">
        <f t="shared" si="1"/>
        <v>0</v>
      </c>
      <c r="P11" s="1" t="s">
        <v>2</v>
      </c>
      <c r="Q11" s="1" t="str">
        <f t="shared" si="6"/>
        <v>1</v>
      </c>
      <c r="R11" s="1" t="str">
        <f t="shared" si="2"/>
        <v>1</v>
      </c>
      <c r="S11" s="1" t="str">
        <f t="shared" si="2"/>
        <v>1</v>
      </c>
      <c r="T11" s="1" t="str">
        <f t="shared" si="2"/>
        <v>1</v>
      </c>
      <c r="U11" s="1" t="s">
        <v>2</v>
      </c>
      <c r="V11" s="1" t="str">
        <f t="shared" si="7"/>
        <v>0</v>
      </c>
      <c r="W11" s="1" t="str">
        <f t="shared" si="3"/>
        <v>1</v>
      </c>
      <c r="X11" s="1" t="str">
        <f t="shared" si="3"/>
        <v>0</v>
      </c>
      <c r="Y11" s="1" t="str">
        <f t="shared" si="3"/>
        <v>0</v>
      </c>
    </row>
    <row r="12" spans="1:25" x14ac:dyDescent="0.2">
      <c r="A12" s="1" t="s">
        <v>27</v>
      </c>
      <c r="B12" s="3" t="s">
        <v>28</v>
      </c>
      <c r="C12" s="1">
        <f t="shared" si="8"/>
        <v>-20098</v>
      </c>
      <c r="D12" s="1"/>
      <c r="E12" s="1" t="s">
        <v>29</v>
      </c>
      <c r="F12" s="3" t="s">
        <v>30</v>
      </c>
      <c r="G12" s="1" t="str">
        <f t="shared" si="4"/>
        <v>1</v>
      </c>
      <c r="H12" s="1" t="str">
        <f t="shared" si="0"/>
        <v>0</v>
      </c>
      <c r="I12" s="1" t="str">
        <f t="shared" si="0"/>
        <v>1</v>
      </c>
      <c r="J12" s="1" t="str">
        <f t="shared" si="0"/>
        <v>1</v>
      </c>
      <c r="K12" s="1" t="s">
        <v>2</v>
      </c>
      <c r="L12" s="1" t="str">
        <f t="shared" si="5"/>
        <v>0</v>
      </c>
      <c r="M12" s="1" t="str">
        <f t="shared" si="1"/>
        <v>0</v>
      </c>
      <c r="N12" s="1" t="str">
        <f t="shared" si="1"/>
        <v>0</v>
      </c>
      <c r="O12" s="1" t="str">
        <f t="shared" si="1"/>
        <v>1</v>
      </c>
      <c r="P12" s="1" t="s">
        <v>2</v>
      </c>
      <c r="Q12" s="1" t="str">
        <f t="shared" si="6"/>
        <v>0</v>
      </c>
      <c r="R12" s="1" t="str">
        <f t="shared" si="2"/>
        <v>1</v>
      </c>
      <c r="S12" s="1" t="str">
        <f t="shared" si="2"/>
        <v>1</v>
      </c>
      <c r="T12" s="1" t="str">
        <f t="shared" si="2"/>
        <v>1</v>
      </c>
      <c r="U12" s="1" t="s">
        <v>2</v>
      </c>
      <c r="V12" s="1" t="str">
        <f t="shared" si="7"/>
        <v>1</v>
      </c>
      <c r="W12" s="1" t="str">
        <f t="shared" si="3"/>
        <v>1</v>
      </c>
      <c r="X12" s="1" t="str">
        <f t="shared" si="3"/>
        <v>1</v>
      </c>
      <c r="Y12" s="1" t="str">
        <f t="shared" si="3"/>
        <v>0</v>
      </c>
    </row>
    <row r="13" spans="1:25" x14ac:dyDescent="0.2">
      <c r="A13" s="1" t="s">
        <v>31</v>
      </c>
      <c r="B13" s="3" t="s">
        <v>32</v>
      </c>
      <c r="C13" s="1">
        <f t="shared" si="8"/>
        <v>-35214</v>
      </c>
      <c r="D13" s="1"/>
      <c r="E13" s="1" t="s">
        <v>33</v>
      </c>
      <c r="F13" s="3" t="s">
        <v>34</v>
      </c>
      <c r="G13" s="1" t="str">
        <f t="shared" si="4"/>
        <v>0</v>
      </c>
      <c r="H13" s="1" t="str">
        <f t="shared" si="0"/>
        <v>1</v>
      </c>
      <c r="I13" s="1" t="str">
        <f t="shared" si="0"/>
        <v>1</v>
      </c>
      <c r="J13" s="1" t="str">
        <f t="shared" si="0"/>
        <v>1</v>
      </c>
      <c r="K13" s="1" t="s">
        <v>2</v>
      </c>
      <c r="L13" s="1" t="str">
        <f t="shared" si="5"/>
        <v>0</v>
      </c>
      <c r="M13" s="1" t="str">
        <f t="shared" si="1"/>
        <v>1</v>
      </c>
      <c r="N13" s="1" t="str">
        <f t="shared" si="1"/>
        <v>1</v>
      </c>
      <c r="O13" s="1" t="str">
        <f t="shared" si="1"/>
        <v>0</v>
      </c>
      <c r="P13" s="1" t="s">
        <v>2</v>
      </c>
      <c r="Q13" s="1" t="str">
        <f t="shared" si="6"/>
        <v>0</v>
      </c>
      <c r="R13" s="1" t="str">
        <f t="shared" si="2"/>
        <v>1</v>
      </c>
      <c r="S13" s="1" t="str">
        <f t="shared" si="2"/>
        <v>1</v>
      </c>
      <c r="T13" s="1" t="str">
        <f t="shared" si="2"/>
        <v>1</v>
      </c>
      <c r="U13" s="1" t="s">
        <v>2</v>
      </c>
      <c r="V13" s="1" t="str">
        <f t="shared" si="7"/>
        <v>0</v>
      </c>
      <c r="W13" s="1" t="str">
        <f t="shared" si="3"/>
        <v>0</v>
      </c>
      <c r="X13" s="1" t="str">
        <f t="shared" si="3"/>
        <v>1</v>
      </c>
      <c r="Y13" s="1" t="str">
        <f t="shared" si="3"/>
        <v>0</v>
      </c>
    </row>
    <row r="14" spans="1:25" x14ac:dyDescent="0.2">
      <c r="A14" s="1" t="s">
        <v>35</v>
      </c>
      <c r="B14" s="3" t="s">
        <v>36</v>
      </c>
      <c r="C14" s="1">
        <f t="shared" si="8"/>
        <v>-10134</v>
      </c>
      <c r="D14" s="1"/>
      <c r="E14" s="1" t="s">
        <v>37</v>
      </c>
      <c r="F14" s="3" t="s">
        <v>38</v>
      </c>
      <c r="G14" s="1" t="str">
        <f t="shared" si="4"/>
        <v>1</v>
      </c>
      <c r="H14" s="1" t="str">
        <f t="shared" si="0"/>
        <v>1</v>
      </c>
      <c r="I14" s="1" t="str">
        <f t="shared" si="0"/>
        <v>0</v>
      </c>
      <c r="J14" s="1" t="str">
        <f t="shared" si="0"/>
        <v>1</v>
      </c>
      <c r="K14" s="1" t="s">
        <v>2</v>
      </c>
      <c r="L14" s="1" t="str">
        <f t="shared" si="5"/>
        <v>1</v>
      </c>
      <c r="M14" s="1" t="str">
        <f t="shared" si="1"/>
        <v>0</v>
      </c>
      <c r="N14" s="1" t="str">
        <f t="shared" si="1"/>
        <v>0</v>
      </c>
      <c r="O14" s="1" t="str">
        <f t="shared" si="1"/>
        <v>0</v>
      </c>
      <c r="P14" s="1" t="s">
        <v>2</v>
      </c>
      <c r="Q14" s="1" t="str">
        <f t="shared" si="6"/>
        <v>0</v>
      </c>
      <c r="R14" s="1" t="str">
        <f t="shared" si="2"/>
        <v>1</v>
      </c>
      <c r="S14" s="1" t="str">
        <f t="shared" si="2"/>
        <v>1</v>
      </c>
      <c r="T14" s="1" t="str">
        <f t="shared" si="2"/>
        <v>0</v>
      </c>
      <c r="U14" s="1" t="s">
        <v>2</v>
      </c>
      <c r="V14" s="1" t="str">
        <f t="shared" si="7"/>
        <v>1</v>
      </c>
      <c r="W14" s="1" t="str">
        <f t="shared" si="3"/>
        <v>0</v>
      </c>
      <c r="X14" s="1" t="str">
        <f t="shared" si="3"/>
        <v>1</v>
      </c>
      <c r="Y14" s="1" t="str">
        <f t="shared" si="3"/>
        <v>0</v>
      </c>
    </row>
    <row r="15" spans="1:25" x14ac:dyDescent="0.2">
      <c r="A15" s="1" t="s">
        <v>39</v>
      </c>
      <c r="B15" s="3" t="s">
        <v>40</v>
      </c>
      <c r="C15" s="1">
        <f t="shared" si="8"/>
        <v>-30322</v>
      </c>
      <c r="D15" s="1"/>
      <c r="E15" s="1" t="s">
        <v>41</v>
      </c>
      <c r="F15" s="3" t="s">
        <v>42</v>
      </c>
      <c r="G15" s="1" t="str">
        <f t="shared" si="4"/>
        <v>1</v>
      </c>
      <c r="H15" s="1" t="str">
        <f t="shared" si="0"/>
        <v>0</v>
      </c>
      <c r="I15" s="1" t="str">
        <f t="shared" si="0"/>
        <v>0</v>
      </c>
      <c r="J15" s="1" t="str">
        <f t="shared" si="0"/>
        <v>0</v>
      </c>
      <c r="K15" s="1" t="s">
        <v>2</v>
      </c>
      <c r="L15" s="1" t="str">
        <f t="shared" si="5"/>
        <v>1</v>
      </c>
      <c r="M15" s="1" t="str">
        <f t="shared" si="1"/>
        <v>0</v>
      </c>
      <c r="N15" s="1" t="str">
        <f t="shared" si="1"/>
        <v>0</v>
      </c>
      <c r="O15" s="1" t="str">
        <f t="shared" si="1"/>
        <v>1</v>
      </c>
      <c r="P15" s="1" t="s">
        <v>2</v>
      </c>
      <c r="Q15" s="1" t="str">
        <f t="shared" si="6"/>
        <v>1</v>
      </c>
      <c r="R15" s="1" t="str">
        <f t="shared" si="2"/>
        <v>0</v>
      </c>
      <c r="S15" s="1" t="str">
        <f t="shared" si="2"/>
        <v>0</v>
      </c>
      <c r="T15" s="1" t="str">
        <f t="shared" si="2"/>
        <v>0</v>
      </c>
      <c r="U15" s="1" t="s">
        <v>2</v>
      </c>
      <c r="V15" s="1" t="str">
        <f t="shared" si="7"/>
        <v>1</v>
      </c>
      <c r="W15" s="1" t="str">
        <f t="shared" si="3"/>
        <v>1</v>
      </c>
      <c r="X15" s="1" t="str">
        <f t="shared" si="3"/>
        <v>1</v>
      </c>
      <c r="Y15" s="1" t="str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dstresdf@gmail.com</dc:creator>
  <cp:lastModifiedBy>dstresdf@gmail.com</cp:lastModifiedBy>
  <dcterms:created xsi:type="dcterms:W3CDTF">2025-11-24T16:19:01Z</dcterms:created>
  <dcterms:modified xsi:type="dcterms:W3CDTF">2025-11-24T16:19:24Z</dcterms:modified>
</cp:coreProperties>
</file>