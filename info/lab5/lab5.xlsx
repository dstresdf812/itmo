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ij/PycharmProjects/ITMO/1 course/info/lab5/"/>
    </mc:Choice>
  </mc:AlternateContent>
  <xr:revisionPtr revIDLastSave="0" documentId="13_ncr:1_{34C58963-375F-6645-8C80-54133269656C}" xr6:coauthVersionLast="47" xr6:coauthVersionMax="47" xr10:uidLastSave="{00000000-0000-0000-0000-000000000000}"/>
  <bookViews>
    <workbookView xWindow="0" yWindow="680" windowWidth="30240" windowHeight="17220" xr2:uid="{C0534D3C-7F33-2A48-88D5-85B83E6187C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  <c r="C4" i="1"/>
  <c r="L5" i="1" l="1"/>
  <c r="Q5" i="1"/>
  <c r="H5" i="1"/>
  <c r="I5" i="1"/>
  <c r="J5" i="1"/>
  <c r="M5" i="1"/>
  <c r="N5" i="1"/>
  <c r="O5" i="1"/>
  <c r="S5" i="1"/>
  <c r="Y5" i="1"/>
  <c r="R5" i="1"/>
  <c r="T5" i="1"/>
  <c r="V5" i="1"/>
  <c r="G5" i="1"/>
  <c r="W5" i="1"/>
  <c r="X5" i="1"/>
  <c r="L8" i="1"/>
  <c r="O8" i="1"/>
  <c r="R8" i="1"/>
  <c r="S8" i="1"/>
  <c r="T8" i="1"/>
  <c r="M8" i="1"/>
  <c r="Q8" i="1"/>
  <c r="H8" i="1"/>
  <c r="X8" i="1"/>
  <c r="I8" i="1"/>
  <c r="J8" i="1"/>
  <c r="N8" i="1"/>
  <c r="V8" i="1"/>
  <c r="G8" i="1"/>
  <c r="W8" i="1"/>
  <c r="Y8" i="1"/>
  <c r="O4" i="1"/>
  <c r="L4" i="1"/>
  <c r="Y4" i="1"/>
  <c r="I4" i="1"/>
  <c r="W4" i="1"/>
  <c r="S4" i="1"/>
  <c r="R4" i="1"/>
  <c r="Q4" i="1"/>
  <c r="N4" i="1"/>
  <c r="M4" i="1"/>
  <c r="X4" i="1"/>
  <c r="H4" i="1"/>
  <c r="J4" i="1"/>
  <c r="V4" i="1"/>
  <c r="G4" i="1"/>
  <c r="T4" i="1"/>
  <c r="V6" i="1"/>
  <c r="G6" i="1"/>
  <c r="Y6" i="1"/>
  <c r="J6" i="1"/>
  <c r="N6" i="1"/>
  <c r="W6" i="1"/>
  <c r="H6" i="1"/>
  <c r="S6" i="1"/>
  <c r="T6" i="1"/>
  <c r="X6" i="1"/>
  <c r="I6" i="1"/>
  <c r="L6" i="1"/>
  <c r="M6" i="1"/>
  <c r="O6" i="1"/>
  <c r="Q6" i="1"/>
  <c r="R6" i="1"/>
  <c r="Q7" i="1"/>
  <c r="V7" i="1"/>
  <c r="W7" i="1"/>
  <c r="H7" i="1"/>
  <c r="X7" i="1"/>
  <c r="R7" i="1"/>
  <c r="T7" i="1"/>
  <c r="M7" i="1"/>
  <c r="N7" i="1"/>
  <c r="O7" i="1"/>
  <c r="S7" i="1"/>
  <c r="G7" i="1"/>
  <c r="I7" i="1"/>
  <c r="Y7" i="1"/>
  <c r="J7" i="1"/>
  <c r="L7" i="1"/>
  <c r="C9" i="1"/>
  <c r="C10" i="1"/>
  <c r="C11" i="1"/>
  <c r="C12" i="1"/>
  <c r="C13" i="1"/>
  <c r="C14" i="1"/>
  <c r="Q10" i="1" l="1"/>
  <c r="G10" i="1"/>
  <c r="W10" i="1"/>
  <c r="I10" i="1"/>
  <c r="J10" i="1"/>
  <c r="R10" i="1"/>
  <c r="S10" i="1"/>
  <c r="V10" i="1"/>
  <c r="H10" i="1"/>
  <c r="X10" i="1"/>
  <c r="T10" i="1"/>
  <c r="M10" i="1"/>
  <c r="Y10" i="1"/>
  <c r="L10" i="1"/>
  <c r="N10" i="1"/>
  <c r="O10" i="1"/>
  <c r="V9" i="1"/>
  <c r="G9" i="1"/>
  <c r="M9" i="1"/>
  <c r="S9" i="1"/>
  <c r="W9" i="1"/>
  <c r="H9" i="1"/>
  <c r="X9" i="1"/>
  <c r="I9" i="1"/>
  <c r="Y9" i="1"/>
  <c r="J9" i="1"/>
  <c r="L9" i="1"/>
  <c r="N9" i="1"/>
  <c r="O9" i="1"/>
  <c r="Q9" i="1"/>
  <c r="R9" i="1"/>
  <c r="T9" i="1"/>
  <c r="C15" i="1"/>
  <c r="Q13" i="1"/>
  <c r="T13" i="1"/>
  <c r="W13" i="1"/>
  <c r="R13" i="1"/>
  <c r="G13" i="1"/>
  <c r="X13" i="1"/>
  <c r="I13" i="1"/>
  <c r="S13" i="1"/>
  <c r="V13" i="1"/>
  <c r="H13" i="1"/>
  <c r="N13" i="1"/>
  <c r="O13" i="1"/>
  <c r="Y13" i="1"/>
  <c r="J13" i="1"/>
  <c r="L13" i="1"/>
  <c r="M13" i="1"/>
  <c r="L14" i="1"/>
  <c r="O14" i="1"/>
  <c r="Q14" i="1"/>
  <c r="R14" i="1"/>
  <c r="Y14" i="1"/>
  <c r="M14" i="1"/>
  <c r="N14" i="1"/>
  <c r="T14" i="1"/>
  <c r="S14" i="1"/>
  <c r="X14" i="1"/>
  <c r="I14" i="1"/>
  <c r="V14" i="1"/>
  <c r="G14" i="1"/>
  <c r="W14" i="1"/>
  <c r="H14" i="1"/>
  <c r="J14" i="1"/>
  <c r="V12" i="1"/>
  <c r="G12" i="1"/>
  <c r="L12" i="1"/>
  <c r="N12" i="1"/>
  <c r="R12" i="1"/>
  <c r="W12" i="1"/>
  <c r="H12" i="1"/>
  <c r="M12" i="1"/>
  <c r="O12" i="1"/>
  <c r="X12" i="1"/>
  <c r="I12" i="1"/>
  <c r="Y12" i="1"/>
  <c r="J12" i="1"/>
  <c r="T12" i="1"/>
  <c r="Q12" i="1"/>
  <c r="S12" i="1"/>
  <c r="L11" i="1"/>
  <c r="M11" i="1"/>
  <c r="Q11" i="1"/>
  <c r="R11" i="1"/>
  <c r="S11" i="1"/>
  <c r="N11" i="1"/>
  <c r="O11" i="1"/>
  <c r="H11" i="1"/>
  <c r="Y11" i="1"/>
  <c r="J11" i="1"/>
  <c r="T11" i="1"/>
  <c r="V11" i="1"/>
  <c r="G11" i="1"/>
  <c r="W11" i="1"/>
  <c r="X11" i="1"/>
  <c r="I11" i="1"/>
  <c r="V15" i="1" l="1"/>
  <c r="G15" i="1"/>
  <c r="Y15" i="1"/>
  <c r="J15" i="1"/>
  <c r="T15" i="1"/>
  <c r="W15" i="1"/>
  <c r="H15" i="1"/>
  <c r="X15" i="1"/>
  <c r="I15" i="1"/>
  <c r="L15" i="1"/>
  <c r="N15" i="1"/>
  <c r="M15" i="1"/>
  <c r="O15" i="1"/>
  <c r="S15" i="1"/>
  <c r="Q15" i="1"/>
  <c r="R15" i="1"/>
</calcChain>
</file>

<file path=xl/sharedStrings.xml><?xml version="1.0" encoding="utf-8"?>
<sst xmlns="http://schemas.openxmlformats.org/spreadsheetml/2006/main" count="83" uniqueCount="43">
  <si>
    <t>X1 =</t>
  </si>
  <si>
    <t>X2 =</t>
  </si>
  <si>
    <t>X3 =</t>
  </si>
  <si>
    <t>A =</t>
  </si>
  <si>
    <t>C =</t>
  </si>
  <si>
    <t>X4 =</t>
  </si>
  <si>
    <t>X5 =</t>
  </si>
  <si>
    <t>X6 =</t>
  </si>
  <si>
    <t>X7 =</t>
  </si>
  <si>
    <t>X8 =</t>
  </si>
  <si>
    <t>X9 =</t>
  </si>
  <si>
    <t>X10 =</t>
  </si>
  <si>
    <t>X11 =</t>
  </si>
  <si>
    <t>X12 =</t>
  </si>
  <si>
    <t>A + C =</t>
  </si>
  <si>
    <t>A + C + C =</t>
  </si>
  <si>
    <t>C - A =</t>
  </si>
  <si>
    <t>65536 - X4 =</t>
  </si>
  <si>
    <t>-X1 =</t>
  </si>
  <si>
    <t>-X2 =</t>
  </si>
  <si>
    <t>-X3 =</t>
  </si>
  <si>
    <t>-X4 =</t>
  </si>
  <si>
    <t>-X5 =</t>
  </si>
  <si>
    <t>-X6 =</t>
  </si>
  <si>
    <t>B1 =</t>
  </si>
  <si>
    <t>B2 =</t>
  </si>
  <si>
    <t>B3 =</t>
  </si>
  <si>
    <t>B4 =</t>
  </si>
  <si>
    <t>B5 =</t>
  </si>
  <si>
    <t xml:space="preserve">B6 = </t>
  </si>
  <si>
    <t>B7 =</t>
  </si>
  <si>
    <t>B8 =</t>
  </si>
  <si>
    <t>B9 =</t>
  </si>
  <si>
    <t>B10 =</t>
  </si>
  <si>
    <t>B11 =</t>
  </si>
  <si>
    <t>B12 =</t>
  </si>
  <si>
    <t>-B2 =</t>
  </si>
  <si>
    <t>-B1 =</t>
  </si>
  <si>
    <t>-B3 =</t>
  </si>
  <si>
    <t>-B4 =</t>
  </si>
  <si>
    <t>-B5 =</t>
  </si>
  <si>
    <t>-B6 =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</si>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</sst>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0"/>
      <color theme="2" tint="-0.499984740745262"/>
      <name val="Aptos Narrow"/>
      <family val="2"/>
      <charset val="204"/>
      <scheme val="minor"/>
    </font>
    <font>
      <sz val="9"/>
      <color theme="2" tint="-0.499984740745262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936E-7A1A-1041-8F31-2F4FD65714B5}">
  <dimension ref="A1:AG68"/>
  <sheetViews>
    <sheetView tabSelected="1" zoomScale="118" zoomScaleNormal="118" workbookViewId="0">
      <selection activeCell="AE17" sqref="AE17:AE22"/>
    </sheetView>
  </sheetViews>
  <sheetFormatPr baseColWidth="10" defaultRowHeight="16" x14ac:dyDescent="0.2"/>
  <cols>
    <col min="1" max="1" width="5.5" style="1" customWidth="1"/>
    <col min="2" max="2" width="10.83203125" style="1" customWidth="1"/>
    <col min="3" max="3" width="9.33203125" style="1" customWidth="1"/>
    <col min="4" max="4" width="2.33203125" style="1" customWidth="1"/>
    <col min="5" max="5" width="6.6640625" style="1" customWidth="1"/>
    <col min="6" max="6" width="7.83203125" style="1" customWidth="1"/>
    <col min="7" max="25" width="2.6640625" style="1" customWidth="1"/>
    <col min="26" max="26" width="4.5" style="1" customWidth="1"/>
    <col min="27" max="27" width="7" style="1" customWidth="1"/>
    <col min="28" max="28" width="3.33203125" style="1" customWidth="1"/>
    <col min="29" max="29" width="6.5" style="1" customWidth="1"/>
    <col min="30" max="30" width="3.6640625" style="1" customWidth="1"/>
    <col min="31" max="31" width="46" style="1" customWidth="1"/>
    <col min="32" max="16384" width="10.83203125" style="1"/>
  </cols>
  <sheetData>
    <row r="1" spans="1:33" x14ac:dyDescent="0.2">
      <c r="B1" s="1" t="s">
        <v>3</v>
      </c>
      <c r="C1" s="1">
        <v>4982</v>
      </c>
      <c r="E1" s="1">
        <v>4982</v>
      </c>
    </row>
    <row r="2" spans="1:33" x14ac:dyDescent="0.2">
      <c r="B2" s="1" t="s">
        <v>4</v>
      </c>
      <c r="C2" s="1">
        <v>15116</v>
      </c>
      <c r="E2" s="1">
        <v>15116</v>
      </c>
    </row>
    <row r="3" spans="1:33" x14ac:dyDescent="0.2">
      <c r="G3" s="3">
        <v>15</v>
      </c>
      <c r="H3" s="3">
        <v>14</v>
      </c>
      <c r="I3" s="3">
        <v>13</v>
      </c>
      <c r="J3" s="3">
        <v>12</v>
      </c>
      <c r="K3" s="3" t="s">
        <v>42</v>
      </c>
      <c r="L3" s="3">
        <v>11</v>
      </c>
      <c r="M3" s="3">
        <v>10</v>
      </c>
      <c r="N3" s="3">
        <v>9</v>
      </c>
      <c r="O3" s="3">
        <v>8</v>
      </c>
      <c r="P3" s="3" t="s">
        <v>42</v>
      </c>
      <c r="Q3" s="3">
        <v>7</v>
      </c>
      <c r="R3" s="3">
        <v>6</v>
      </c>
      <c r="S3" s="3">
        <v>5</v>
      </c>
      <c r="T3" s="3">
        <v>4</v>
      </c>
      <c r="U3" s="3" t="s">
        <v>42</v>
      </c>
      <c r="V3" s="3">
        <v>3</v>
      </c>
      <c r="W3" s="3">
        <v>2</v>
      </c>
      <c r="X3" s="3">
        <v>1</v>
      </c>
      <c r="Y3" s="3">
        <v>0</v>
      </c>
      <c r="Z3" s="5"/>
      <c r="AA3" s="5"/>
      <c r="AB3" s="5"/>
    </row>
    <row r="4" spans="1:33" x14ac:dyDescent="0.2">
      <c r="A4" s="1" t="s">
        <v>0</v>
      </c>
      <c r="B4" s="1" t="s">
        <v>3</v>
      </c>
      <c r="C4" s="1">
        <f>C1</f>
        <v>4982</v>
      </c>
      <c r="E4" s="1" t="s">
        <v>24</v>
      </c>
      <c r="G4" s="1" t="str">
        <f>MID(IF($C4&gt;0,_xlfn.BASE($C4,2,16),_xlfn.BASE($C4+2^16,2,16)),16-G$3,1)</f>
        <v>0</v>
      </c>
      <c r="H4" s="1" t="str">
        <f t="shared" ref="H4:J15" si="0">MID(IF($C4&gt;0,_xlfn.BASE($C4,2,16),_xlfn.BASE($C4+2^16,2,16)),16-H$3,1)</f>
        <v>0</v>
      </c>
      <c r="I4" s="1" t="str">
        <f t="shared" si="0"/>
        <v>0</v>
      </c>
      <c r="J4" s="1" t="str">
        <f t="shared" si="0"/>
        <v>1</v>
      </c>
      <c r="K4" s="1" t="s">
        <v>42</v>
      </c>
      <c r="L4" s="1" t="str">
        <f>MID(IF($C4&gt;0,_xlfn.BASE($C4,2,16),_xlfn.BASE($C4+2^16,2,16)),16-L$3,1)</f>
        <v>0</v>
      </c>
      <c r="M4" s="1" t="str">
        <f t="shared" ref="M4:O15" si="1">MID(IF($C4&gt;0,_xlfn.BASE($C4,2,16),_xlfn.BASE($C4+2^16,2,16)),16-M$3,1)</f>
        <v>0</v>
      </c>
      <c r="N4" s="1" t="str">
        <f t="shared" si="1"/>
        <v>1</v>
      </c>
      <c r="O4" s="1" t="str">
        <f t="shared" si="1"/>
        <v>1</v>
      </c>
      <c r="P4" s="1" t="s">
        <v>42</v>
      </c>
      <c r="Q4" s="1" t="str">
        <f>MID(IF($C4&gt;0,_xlfn.BASE($C4,2,16),_xlfn.BASE($C4+2^16,2,16)),16-Q$3,1)</f>
        <v>0</v>
      </c>
      <c r="R4" s="1" t="str">
        <f t="shared" ref="R4:T15" si="2">MID(IF($C4&gt;0,_xlfn.BASE($C4,2,16),_xlfn.BASE($C4+2^16,2,16)),16-R$3,1)</f>
        <v>1</v>
      </c>
      <c r="S4" s="1" t="str">
        <f t="shared" si="2"/>
        <v>1</v>
      </c>
      <c r="T4" s="1" t="str">
        <f t="shared" si="2"/>
        <v>1</v>
      </c>
      <c r="U4" s="1" t="s">
        <v>42</v>
      </c>
      <c r="V4" s="1" t="str">
        <f>MID(IF($C4&gt;0,_xlfn.BASE($C4,2,16),_xlfn.BASE($C4+2^16,2,16)),16-V$3,1)</f>
        <v>0</v>
      </c>
      <c r="W4" s="1" t="str">
        <f t="shared" ref="W4:Y15" si="3">MID(IF($C4&gt;0,_xlfn.BASE($C4,2,16),_xlfn.BASE($C4+2^16,2,16)),16-W$3,1)</f>
        <v>1</v>
      </c>
      <c r="X4" s="1" t="str">
        <f t="shared" si="3"/>
        <v>1</v>
      </c>
      <c r="Y4" s="1" t="str">
        <f t="shared" si="3"/>
        <v>0</v>
      </c>
      <c r="Z4" s="5"/>
      <c r="AA4" s="5"/>
      <c r="AB4" s="5"/>
    </row>
    <row r="5" spans="1:33" x14ac:dyDescent="0.2">
      <c r="A5" s="1" t="s">
        <v>1</v>
      </c>
      <c r="B5" s="1" t="s">
        <v>4</v>
      </c>
      <c r="C5" s="1">
        <f>C2</f>
        <v>15116</v>
      </c>
      <c r="E5" s="1" t="s">
        <v>25</v>
      </c>
      <c r="G5" s="1" t="str">
        <f t="shared" ref="G5:G15" si="4">MID(IF($C5&gt;0,_xlfn.BASE($C5,2,16),_xlfn.BASE($C5+2^16,2,16)),16-G$3,1)</f>
        <v>0</v>
      </c>
      <c r="H5" s="1" t="str">
        <f t="shared" si="0"/>
        <v>0</v>
      </c>
      <c r="I5" s="1" t="str">
        <f t="shared" si="0"/>
        <v>1</v>
      </c>
      <c r="J5" s="1" t="str">
        <f t="shared" si="0"/>
        <v>1</v>
      </c>
      <c r="K5" s="1" t="s">
        <v>42</v>
      </c>
      <c r="L5" s="1" t="str">
        <f t="shared" ref="L5:L15" si="5">MID(IF($C5&gt;0,_xlfn.BASE($C5,2,16),_xlfn.BASE($C5+2^16,2,16)),16-L$3,1)</f>
        <v>1</v>
      </c>
      <c r="M5" s="1" t="str">
        <f t="shared" si="1"/>
        <v>0</v>
      </c>
      <c r="N5" s="1" t="str">
        <f t="shared" si="1"/>
        <v>1</v>
      </c>
      <c r="O5" s="1" t="str">
        <f t="shared" si="1"/>
        <v>1</v>
      </c>
      <c r="P5" s="1" t="s">
        <v>42</v>
      </c>
      <c r="Q5" s="1" t="str">
        <f t="shared" ref="Q5:Q15" si="6">MID(IF($C5&gt;0,_xlfn.BASE($C5,2,16),_xlfn.BASE($C5+2^16,2,16)),16-Q$3,1)</f>
        <v>0</v>
      </c>
      <c r="R5" s="1" t="str">
        <f t="shared" si="2"/>
        <v>0</v>
      </c>
      <c r="S5" s="1" t="str">
        <f t="shared" si="2"/>
        <v>0</v>
      </c>
      <c r="T5" s="1" t="str">
        <f t="shared" si="2"/>
        <v>0</v>
      </c>
      <c r="U5" s="1" t="s">
        <v>42</v>
      </c>
      <c r="V5" s="1" t="str">
        <f t="shared" ref="V5:V15" si="7">MID(IF($C5&gt;0,_xlfn.BASE($C5,2,16),_xlfn.BASE($C5+2^16,2,16)),16-V$3,1)</f>
        <v>1</v>
      </c>
      <c r="W5" s="1" t="str">
        <f t="shared" si="3"/>
        <v>1</v>
      </c>
      <c r="X5" s="1" t="str">
        <f t="shared" si="3"/>
        <v>0</v>
      </c>
      <c r="Y5" s="1" t="str">
        <f t="shared" si="3"/>
        <v>0</v>
      </c>
      <c r="AE5" s="4"/>
    </row>
    <row r="6" spans="1:33" x14ac:dyDescent="0.2">
      <c r="A6" s="1" t="s">
        <v>2</v>
      </c>
      <c r="B6" s="1" t="s">
        <v>14</v>
      </c>
      <c r="C6" s="1">
        <f>C1+C2</f>
        <v>20098</v>
      </c>
      <c r="E6" s="1" t="s">
        <v>26</v>
      </c>
      <c r="G6" s="1" t="str">
        <f t="shared" si="4"/>
        <v>0</v>
      </c>
      <c r="H6" s="1" t="str">
        <f t="shared" si="0"/>
        <v>1</v>
      </c>
      <c r="I6" s="1" t="str">
        <f t="shared" si="0"/>
        <v>0</v>
      </c>
      <c r="J6" s="1" t="str">
        <f t="shared" si="0"/>
        <v>0</v>
      </c>
      <c r="K6" s="1" t="s">
        <v>42</v>
      </c>
      <c r="L6" s="1" t="str">
        <f t="shared" si="5"/>
        <v>1</v>
      </c>
      <c r="M6" s="1" t="str">
        <f t="shared" si="1"/>
        <v>1</v>
      </c>
      <c r="N6" s="1" t="str">
        <f t="shared" si="1"/>
        <v>1</v>
      </c>
      <c r="O6" s="1" t="str">
        <f t="shared" si="1"/>
        <v>0</v>
      </c>
      <c r="P6" s="1" t="s">
        <v>42</v>
      </c>
      <c r="Q6" s="1" t="str">
        <f t="shared" si="6"/>
        <v>1</v>
      </c>
      <c r="R6" s="1" t="str">
        <f t="shared" si="2"/>
        <v>0</v>
      </c>
      <c r="S6" s="1" t="str">
        <f t="shared" si="2"/>
        <v>0</v>
      </c>
      <c r="T6" s="1" t="str">
        <f t="shared" si="2"/>
        <v>0</v>
      </c>
      <c r="U6" s="1" t="s">
        <v>42</v>
      </c>
      <c r="V6" s="1" t="str">
        <f t="shared" si="7"/>
        <v>0</v>
      </c>
      <c r="W6" s="1" t="str">
        <f t="shared" si="3"/>
        <v>0</v>
      </c>
      <c r="X6" s="1" t="str">
        <f t="shared" si="3"/>
        <v>1</v>
      </c>
      <c r="Y6" s="1" t="str">
        <f t="shared" si="3"/>
        <v>0</v>
      </c>
      <c r="AE6" s="4"/>
    </row>
    <row r="7" spans="1:33" x14ac:dyDescent="0.2">
      <c r="A7" s="1" t="s">
        <v>5</v>
      </c>
      <c r="B7" s="1" t="s">
        <v>15</v>
      </c>
      <c r="C7" s="1">
        <f>C1+C2+C2</f>
        <v>35214</v>
      </c>
      <c r="E7" s="1" t="s">
        <v>27</v>
      </c>
      <c r="G7" s="1" t="str">
        <f t="shared" si="4"/>
        <v>1</v>
      </c>
      <c r="H7" s="1" t="str">
        <f t="shared" si="0"/>
        <v>0</v>
      </c>
      <c r="I7" s="1" t="str">
        <f t="shared" si="0"/>
        <v>0</v>
      </c>
      <c r="J7" s="1" t="str">
        <f t="shared" si="0"/>
        <v>0</v>
      </c>
      <c r="K7" s="1" t="s">
        <v>42</v>
      </c>
      <c r="L7" s="1" t="str">
        <f t="shared" si="5"/>
        <v>1</v>
      </c>
      <c r="M7" s="1" t="str">
        <f t="shared" si="1"/>
        <v>0</v>
      </c>
      <c r="N7" s="1" t="str">
        <f t="shared" si="1"/>
        <v>0</v>
      </c>
      <c r="O7" s="1" t="str">
        <f t="shared" si="1"/>
        <v>1</v>
      </c>
      <c r="P7" s="1" t="s">
        <v>42</v>
      </c>
      <c r="Q7" s="1" t="str">
        <f t="shared" si="6"/>
        <v>1</v>
      </c>
      <c r="R7" s="1" t="str">
        <f t="shared" si="2"/>
        <v>0</v>
      </c>
      <c r="S7" s="1" t="str">
        <f t="shared" si="2"/>
        <v>0</v>
      </c>
      <c r="T7" s="1" t="str">
        <f t="shared" si="2"/>
        <v>0</v>
      </c>
      <c r="U7" s="1" t="s">
        <v>42</v>
      </c>
      <c r="V7" s="1" t="str">
        <f t="shared" si="7"/>
        <v>1</v>
      </c>
      <c r="W7" s="1" t="str">
        <f t="shared" si="3"/>
        <v>1</v>
      </c>
      <c r="X7" s="1" t="str">
        <f t="shared" si="3"/>
        <v>1</v>
      </c>
      <c r="Y7" s="1" t="str">
        <f t="shared" si="3"/>
        <v>0</v>
      </c>
      <c r="AE7" s="4"/>
    </row>
    <row r="8" spans="1:33" x14ac:dyDescent="0.2">
      <c r="A8" s="1" t="s">
        <v>6</v>
      </c>
      <c r="B8" s="1" t="s">
        <v>16</v>
      </c>
      <c r="C8" s="1">
        <f>C2-C1</f>
        <v>10134</v>
      </c>
      <c r="E8" s="1" t="s">
        <v>28</v>
      </c>
      <c r="G8" s="1" t="str">
        <f t="shared" si="4"/>
        <v>0</v>
      </c>
      <c r="H8" s="1" t="str">
        <f t="shared" si="0"/>
        <v>0</v>
      </c>
      <c r="I8" s="1" t="str">
        <f t="shared" si="0"/>
        <v>1</v>
      </c>
      <c r="J8" s="1" t="str">
        <f t="shared" si="0"/>
        <v>0</v>
      </c>
      <c r="K8" s="1" t="s">
        <v>42</v>
      </c>
      <c r="L8" s="1" t="str">
        <f t="shared" si="5"/>
        <v>0</v>
      </c>
      <c r="M8" s="1" t="str">
        <f t="shared" si="1"/>
        <v>1</v>
      </c>
      <c r="N8" s="1" t="str">
        <f t="shared" si="1"/>
        <v>1</v>
      </c>
      <c r="O8" s="1" t="str">
        <f t="shared" si="1"/>
        <v>1</v>
      </c>
      <c r="P8" s="1" t="s">
        <v>42</v>
      </c>
      <c r="Q8" s="1" t="str">
        <f t="shared" si="6"/>
        <v>1</v>
      </c>
      <c r="R8" s="1" t="str">
        <f t="shared" si="2"/>
        <v>0</v>
      </c>
      <c r="S8" s="1" t="str">
        <f t="shared" si="2"/>
        <v>0</v>
      </c>
      <c r="T8" s="1" t="str">
        <f t="shared" si="2"/>
        <v>1</v>
      </c>
      <c r="U8" s="1" t="s">
        <v>42</v>
      </c>
      <c r="V8" s="1" t="str">
        <f t="shared" si="7"/>
        <v>0</v>
      </c>
      <c r="W8" s="1" t="str">
        <f t="shared" si="3"/>
        <v>1</v>
      </c>
      <c r="X8" s="1" t="str">
        <f t="shared" si="3"/>
        <v>1</v>
      </c>
      <c r="Y8" s="1" t="str">
        <f t="shared" si="3"/>
        <v>0</v>
      </c>
      <c r="AE8" s="4"/>
    </row>
    <row r="9" spans="1:33" x14ac:dyDescent="0.2">
      <c r="A9" s="1" t="s">
        <v>7</v>
      </c>
      <c r="B9" s="1" t="s">
        <v>17</v>
      </c>
      <c r="C9" s="1">
        <f>65536-C7</f>
        <v>30322</v>
      </c>
      <c r="E9" s="1" t="s">
        <v>29</v>
      </c>
      <c r="G9" s="1" t="str">
        <f t="shared" si="4"/>
        <v>0</v>
      </c>
      <c r="H9" s="1" t="str">
        <f t="shared" si="0"/>
        <v>1</v>
      </c>
      <c r="I9" s="1" t="str">
        <f t="shared" si="0"/>
        <v>1</v>
      </c>
      <c r="J9" s="1" t="str">
        <f t="shared" si="0"/>
        <v>1</v>
      </c>
      <c r="K9" s="1" t="s">
        <v>42</v>
      </c>
      <c r="L9" s="1" t="str">
        <f t="shared" si="5"/>
        <v>0</v>
      </c>
      <c r="M9" s="1" t="str">
        <f t="shared" si="1"/>
        <v>1</v>
      </c>
      <c r="N9" s="1" t="str">
        <f t="shared" si="1"/>
        <v>1</v>
      </c>
      <c r="O9" s="1" t="str">
        <f t="shared" si="1"/>
        <v>0</v>
      </c>
      <c r="P9" s="1" t="s">
        <v>42</v>
      </c>
      <c r="Q9" s="1" t="str">
        <f t="shared" si="6"/>
        <v>0</v>
      </c>
      <c r="R9" s="1" t="str">
        <f t="shared" si="2"/>
        <v>1</v>
      </c>
      <c r="S9" s="1" t="str">
        <f t="shared" si="2"/>
        <v>1</v>
      </c>
      <c r="T9" s="1" t="str">
        <f t="shared" si="2"/>
        <v>1</v>
      </c>
      <c r="U9" s="1" t="s">
        <v>42</v>
      </c>
      <c r="V9" s="1" t="str">
        <f t="shared" si="7"/>
        <v>0</v>
      </c>
      <c r="W9" s="1" t="str">
        <f t="shared" si="3"/>
        <v>0</v>
      </c>
      <c r="X9" s="1" t="str">
        <f t="shared" si="3"/>
        <v>1</v>
      </c>
      <c r="Y9" s="1" t="str">
        <f t="shared" si="3"/>
        <v>0</v>
      </c>
    </row>
    <row r="10" spans="1:33" x14ac:dyDescent="0.2">
      <c r="A10" s="1" t="s">
        <v>8</v>
      </c>
      <c r="B10" s="2" t="s">
        <v>18</v>
      </c>
      <c r="C10" s="1">
        <f t="shared" ref="C10:C15" si="8">-C4</f>
        <v>-4982</v>
      </c>
      <c r="E10" s="1" t="s">
        <v>30</v>
      </c>
      <c r="F10" s="2" t="s">
        <v>37</v>
      </c>
      <c r="G10" s="1" t="str">
        <f t="shared" si="4"/>
        <v>1</v>
      </c>
      <c r="H10" s="1" t="str">
        <f t="shared" si="0"/>
        <v>1</v>
      </c>
      <c r="I10" s="1" t="str">
        <f t="shared" si="0"/>
        <v>1</v>
      </c>
      <c r="J10" s="1" t="str">
        <f t="shared" si="0"/>
        <v>0</v>
      </c>
      <c r="K10" s="1" t="s">
        <v>42</v>
      </c>
      <c r="L10" s="1" t="str">
        <f t="shared" si="5"/>
        <v>1</v>
      </c>
      <c r="M10" s="1" t="str">
        <f t="shared" si="1"/>
        <v>1</v>
      </c>
      <c r="N10" s="1" t="str">
        <f t="shared" si="1"/>
        <v>0</v>
      </c>
      <c r="O10" s="1" t="str">
        <f t="shared" si="1"/>
        <v>0</v>
      </c>
      <c r="P10" s="1" t="s">
        <v>42</v>
      </c>
      <c r="Q10" s="1" t="str">
        <f t="shared" si="6"/>
        <v>1</v>
      </c>
      <c r="R10" s="1" t="str">
        <f t="shared" si="2"/>
        <v>0</v>
      </c>
      <c r="S10" s="1" t="str">
        <f t="shared" si="2"/>
        <v>0</v>
      </c>
      <c r="T10" s="1" t="str">
        <f t="shared" si="2"/>
        <v>0</v>
      </c>
      <c r="U10" s="1" t="s">
        <v>42</v>
      </c>
      <c r="V10" s="1" t="str">
        <f t="shared" si="7"/>
        <v>1</v>
      </c>
      <c r="W10" s="1" t="str">
        <f t="shared" si="3"/>
        <v>0</v>
      </c>
      <c r="X10" s="1" t="str">
        <f t="shared" si="3"/>
        <v>1</v>
      </c>
      <c r="Y10" s="1" t="str">
        <f t="shared" si="3"/>
        <v>0</v>
      </c>
    </row>
    <row r="11" spans="1:33" x14ac:dyDescent="0.2">
      <c r="A11" s="1" t="s">
        <v>9</v>
      </c>
      <c r="B11" s="2" t="s">
        <v>19</v>
      </c>
      <c r="C11" s="1">
        <f t="shared" si="8"/>
        <v>-15116</v>
      </c>
      <c r="E11" s="1" t="s">
        <v>31</v>
      </c>
      <c r="F11" s="2" t="s">
        <v>36</v>
      </c>
      <c r="G11" s="1" t="str">
        <f t="shared" si="4"/>
        <v>1</v>
      </c>
      <c r="H11" s="1" t="str">
        <f t="shared" si="0"/>
        <v>1</v>
      </c>
      <c r="I11" s="1" t="str">
        <f t="shared" si="0"/>
        <v>0</v>
      </c>
      <c r="J11" s="1" t="str">
        <f t="shared" si="0"/>
        <v>0</v>
      </c>
      <c r="K11" s="1" t="s">
        <v>42</v>
      </c>
      <c r="L11" s="1" t="str">
        <f t="shared" si="5"/>
        <v>0</v>
      </c>
      <c r="M11" s="1" t="str">
        <f t="shared" si="1"/>
        <v>1</v>
      </c>
      <c r="N11" s="1" t="str">
        <f t="shared" si="1"/>
        <v>0</v>
      </c>
      <c r="O11" s="1" t="str">
        <f t="shared" si="1"/>
        <v>0</v>
      </c>
      <c r="P11" s="1" t="s">
        <v>42</v>
      </c>
      <c r="Q11" s="1" t="str">
        <f t="shared" si="6"/>
        <v>1</v>
      </c>
      <c r="R11" s="1" t="str">
        <f t="shared" si="2"/>
        <v>1</v>
      </c>
      <c r="S11" s="1" t="str">
        <f t="shared" si="2"/>
        <v>1</v>
      </c>
      <c r="T11" s="1" t="str">
        <f t="shared" si="2"/>
        <v>1</v>
      </c>
      <c r="U11" s="1" t="s">
        <v>42</v>
      </c>
      <c r="V11" s="1" t="str">
        <f t="shared" si="7"/>
        <v>0</v>
      </c>
      <c r="W11" s="1" t="str">
        <f t="shared" si="3"/>
        <v>1</v>
      </c>
      <c r="X11" s="1" t="str">
        <f t="shared" si="3"/>
        <v>0</v>
      </c>
      <c r="Y11" s="1" t="str">
        <f t="shared" si="3"/>
        <v>0</v>
      </c>
    </row>
    <row r="12" spans="1:33" x14ac:dyDescent="0.2">
      <c r="A12" s="1" t="s">
        <v>10</v>
      </c>
      <c r="B12" s="2" t="s">
        <v>20</v>
      </c>
      <c r="C12" s="1">
        <f t="shared" si="8"/>
        <v>-20098</v>
      </c>
      <c r="E12" s="1" t="s">
        <v>32</v>
      </c>
      <c r="F12" s="2" t="s">
        <v>38</v>
      </c>
      <c r="G12" s="1" t="str">
        <f t="shared" si="4"/>
        <v>1</v>
      </c>
      <c r="H12" s="1" t="str">
        <f t="shared" si="0"/>
        <v>0</v>
      </c>
      <c r="I12" s="1" t="str">
        <f t="shared" si="0"/>
        <v>1</v>
      </c>
      <c r="J12" s="1" t="str">
        <f t="shared" si="0"/>
        <v>1</v>
      </c>
      <c r="K12" s="1" t="s">
        <v>42</v>
      </c>
      <c r="L12" s="1" t="str">
        <f t="shared" si="5"/>
        <v>0</v>
      </c>
      <c r="M12" s="1" t="str">
        <f t="shared" si="1"/>
        <v>0</v>
      </c>
      <c r="N12" s="1" t="str">
        <f t="shared" si="1"/>
        <v>0</v>
      </c>
      <c r="O12" s="1" t="str">
        <f t="shared" si="1"/>
        <v>1</v>
      </c>
      <c r="P12" s="1" t="s">
        <v>42</v>
      </c>
      <c r="Q12" s="1" t="str">
        <f t="shared" si="6"/>
        <v>0</v>
      </c>
      <c r="R12" s="1" t="str">
        <f t="shared" si="2"/>
        <v>1</v>
      </c>
      <c r="S12" s="1" t="str">
        <f t="shared" si="2"/>
        <v>1</v>
      </c>
      <c r="T12" s="1" t="str">
        <f t="shared" si="2"/>
        <v>1</v>
      </c>
      <c r="U12" s="1" t="s">
        <v>42</v>
      </c>
      <c r="V12" s="1" t="str">
        <f t="shared" si="7"/>
        <v>1</v>
      </c>
      <c r="W12" s="1" t="str">
        <f t="shared" si="3"/>
        <v>1</v>
      </c>
      <c r="X12" s="1" t="str">
        <f t="shared" si="3"/>
        <v>1</v>
      </c>
      <c r="Y12" s="1" t="str">
        <f t="shared" si="3"/>
        <v>0</v>
      </c>
      <c r="AE12" s="5"/>
      <c r="AF12" s="5"/>
      <c r="AG12" s="5"/>
    </row>
    <row r="13" spans="1:33" x14ac:dyDescent="0.2">
      <c r="A13" s="1" t="s">
        <v>11</v>
      </c>
      <c r="B13" s="2" t="s">
        <v>21</v>
      </c>
      <c r="C13" s="1">
        <f t="shared" si="8"/>
        <v>-35214</v>
      </c>
      <c r="E13" s="1" t="s">
        <v>33</v>
      </c>
      <c r="F13" s="2" t="s">
        <v>39</v>
      </c>
      <c r="G13" s="1" t="str">
        <f t="shared" si="4"/>
        <v>0</v>
      </c>
      <c r="H13" s="1" t="str">
        <f t="shared" si="0"/>
        <v>1</v>
      </c>
      <c r="I13" s="1" t="str">
        <f t="shared" si="0"/>
        <v>1</v>
      </c>
      <c r="J13" s="1" t="str">
        <f t="shared" si="0"/>
        <v>1</v>
      </c>
      <c r="K13" s="1" t="s">
        <v>42</v>
      </c>
      <c r="L13" s="1" t="str">
        <f t="shared" si="5"/>
        <v>0</v>
      </c>
      <c r="M13" s="1" t="str">
        <f t="shared" si="1"/>
        <v>1</v>
      </c>
      <c r="N13" s="1" t="str">
        <f t="shared" si="1"/>
        <v>1</v>
      </c>
      <c r="O13" s="1" t="str">
        <f t="shared" si="1"/>
        <v>0</v>
      </c>
      <c r="P13" s="1" t="s">
        <v>42</v>
      </c>
      <c r="Q13" s="1" t="str">
        <f t="shared" si="6"/>
        <v>0</v>
      </c>
      <c r="R13" s="1" t="str">
        <f t="shared" si="2"/>
        <v>1</v>
      </c>
      <c r="S13" s="1" t="str">
        <f t="shared" si="2"/>
        <v>1</v>
      </c>
      <c r="T13" s="1" t="str">
        <f t="shared" si="2"/>
        <v>1</v>
      </c>
      <c r="U13" s="1" t="s">
        <v>42</v>
      </c>
      <c r="V13" s="1" t="str">
        <f t="shared" si="7"/>
        <v>0</v>
      </c>
      <c r="W13" s="1" t="str">
        <f t="shared" si="3"/>
        <v>0</v>
      </c>
      <c r="X13" s="1" t="str">
        <f t="shared" si="3"/>
        <v>1</v>
      </c>
      <c r="Y13" s="1" t="str">
        <f t="shared" si="3"/>
        <v>0</v>
      </c>
      <c r="AE13" s="5"/>
      <c r="AF13" s="5"/>
      <c r="AG13" s="5"/>
    </row>
    <row r="14" spans="1:33" x14ac:dyDescent="0.2">
      <c r="A14" s="1" t="s">
        <v>12</v>
      </c>
      <c r="B14" s="2" t="s">
        <v>22</v>
      </c>
      <c r="C14" s="1">
        <f t="shared" si="8"/>
        <v>-10134</v>
      </c>
      <c r="E14" s="1" t="s">
        <v>34</v>
      </c>
      <c r="F14" s="2" t="s">
        <v>40</v>
      </c>
      <c r="G14" s="1" t="str">
        <f t="shared" si="4"/>
        <v>1</v>
      </c>
      <c r="H14" s="1" t="str">
        <f t="shared" si="0"/>
        <v>1</v>
      </c>
      <c r="I14" s="1" t="str">
        <f t="shared" si="0"/>
        <v>0</v>
      </c>
      <c r="J14" s="1" t="str">
        <f t="shared" si="0"/>
        <v>1</v>
      </c>
      <c r="K14" s="1" t="s">
        <v>42</v>
      </c>
      <c r="L14" s="1" t="str">
        <f t="shared" si="5"/>
        <v>1</v>
      </c>
      <c r="M14" s="1" t="str">
        <f t="shared" si="1"/>
        <v>0</v>
      </c>
      <c r="N14" s="1" t="str">
        <f t="shared" si="1"/>
        <v>0</v>
      </c>
      <c r="O14" s="1" t="str">
        <f t="shared" si="1"/>
        <v>0</v>
      </c>
      <c r="P14" s="1" t="s">
        <v>42</v>
      </c>
      <c r="Q14" s="1" t="str">
        <f t="shared" si="6"/>
        <v>0</v>
      </c>
      <c r="R14" s="1" t="str">
        <f t="shared" si="2"/>
        <v>1</v>
      </c>
      <c r="S14" s="1" t="str">
        <f t="shared" si="2"/>
        <v>1</v>
      </c>
      <c r="T14" s="1" t="str">
        <f t="shared" si="2"/>
        <v>0</v>
      </c>
      <c r="U14" s="1" t="s">
        <v>42</v>
      </c>
      <c r="V14" s="1" t="str">
        <f t="shared" si="7"/>
        <v>1</v>
      </c>
      <c r="W14" s="1" t="str">
        <f t="shared" si="3"/>
        <v>0</v>
      </c>
      <c r="X14" s="1" t="str">
        <f t="shared" si="3"/>
        <v>1</v>
      </c>
      <c r="Y14" s="1" t="str">
        <f t="shared" si="3"/>
        <v>0</v>
      </c>
    </row>
    <row r="15" spans="1:33" x14ac:dyDescent="0.2">
      <c r="A15" s="1" t="s">
        <v>13</v>
      </c>
      <c r="B15" s="2" t="s">
        <v>23</v>
      </c>
      <c r="C15" s="1">
        <f t="shared" si="8"/>
        <v>-30322</v>
      </c>
      <c r="E15" s="1" t="s">
        <v>35</v>
      </c>
      <c r="F15" s="2" t="s">
        <v>41</v>
      </c>
      <c r="G15" s="1" t="str">
        <f t="shared" si="4"/>
        <v>1</v>
      </c>
      <c r="H15" s="1" t="str">
        <f t="shared" si="0"/>
        <v>0</v>
      </c>
      <c r="I15" s="1" t="str">
        <f t="shared" si="0"/>
        <v>0</v>
      </c>
      <c r="J15" s="1" t="str">
        <f t="shared" si="0"/>
        <v>0</v>
      </c>
      <c r="K15" s="1" t="s">
        <v>42</v>
      </c>
      <c r="L15" s="1" t="str">
        <f t="shared" si="5"/>
        <v>1</v>
      </c>
      <c r="M15" s="1" t="str">
        <f t="shared" si="1"/>
        <v>0</v>
      </c>
      <c r="N15" s="1" t="str">
        <f t="shared" si="1"/>
        <v>0</v>
      </c>
      <c r="O15" s="1" t="str">
        <f t="shared" si="1"/>
        <v>1</v>
      </c>
      <c r="P15" s="1" t="s">
        <v>42</v>
      </c>
      <c r="Q15" s="1" t="str">
        <f t="shared" si="6"/>
        <v>1</v>
      </c>
      <c r="R15" s="1" t="str">
        <f t="shared" si="2"/>
        <v>0</v>
      </c>
      <c r="S15" s="1" t="str">
        <f t="shared" si="2"/>
        <v>0</v>
      </c>
      <c r="T15" s="1" t="str">
        <f t="shared" si="2"/>
        <v>0</v>
      </c>
      <c r="U15" s="1" t="s">
        <v>42</v>
      </c>
      <c r="V15" s="1" t="str">
        <f t="shared" si="7"/>
        <v>1</v>
      </c>
      <c r="W15" s="1" t="str">
        <f t="shared" si="3"/>
        <v>1</v>
      </c>
      <c r="X15" s="1" t="str">
        <f t="shared" si="3"/>
        <v>1</v>
      </c>
      <c r="Y15" s="1" t="str">
        <f t="shared" si="3"/>
        <v>0</v>
      </c>
    </row>
    <row r="16" spans="1:33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x14ac:dyDescent="0.2">
      <c r="A17" s="6"/>
      <c r="B17" s="6"/>
      <c r="C17" s="6"/>
      <c r="D17" s="6"/>
      <c r="E17" s="6"/>
      <c r="F17" s="6"/>
      <c r="G17" s="7"/>
      <c r="H17" s="7"/>
      <c r="I17" s="7"/>
      <c r="J17" s="6"/>
      <c r="K17" s="6"/>
      <c r="L17" s="7"/>
      <c r="M17" s="7"/>
      <c r="N17" s="7"/>
      <c r="O17" s="6"/>
      <c r="P17" s="6"/>
      <c r="Q17" s="7"/>
      <c r="R17" s="7"/>
      <c r="S17" s="7"/>
      <c r="T17" s="6"/>
      <c r="U17" s="6"/>
      <c r="V17" s="7"/>
      <c r="W17" s="7"/>
      <c r="X17" s="7"/>
      <c r="Y17" s="6"/>
      <c r="Z17" s="6"/>
      <c r="AA17" s="8"/>
      <c r="AB17" s="6"/>
      <c r="AC17" s="8"/>
      <c r="AD17" s="6"/>
      <c r="AE17" s="9"/>
    </row>
    <row r="18" spans="1:31" x14ac:dyDescent="0.2">
      <c r="A18" s="6"/>
      <c r="B18" s="6"/>
      <c r="C18" s="6"/>
      <c r="D18" s="6"/>
      <c r="E18" s="6"/>
      <c r="F18" s="6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6"/>
      <c r="AA18" s="6"/>
      <c r="AB18" s="6"/>
      <c r="AC18" s="6"/>
      <c r="AD18" s="6"/>
      <c r="AE18" s="9"/>
    </row>
    <row r="19" spans="1:3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9"/>
    </row>
    <row r="20" spans="1:3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9"/>
    </row>
    <row r="21" spans="1:3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11"/>
      <c r="AA21" s="6"/>
      <c r="AB21" s="6"/>
      <c r="AC21" s="6"/>
      <c r="AD21" s="6"/>
      <c r="AE21" s="9"/>
    </row>
    <row r="22" spans="1:3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9"/>
    </row>
    <row r="23" spans="1:3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12"/>
    </row>
    <row r="24" spans="1:31" x14ac:dyDescent="0.2">
      <c r="A24" s="6"/>
      <c r="B24" s="6"/>
      <c r="C24" s="6"/>
      <c r="D24" s="6"/>
      <c r="E24" s="6"/>
      <c r="F24" s="6"/>
      <c r="G24" s="7"/>
      <c r="H24" s="7"/>
      <c r="I24" s="7"/>
      <c r="J24" s="6"/>
      <c r="K24" s="6"/>
      <c r="L24" s="7"/>
      <c r="M24" s="7"/>
      <c r="N24" s="7"/>
      <c r="O24" s="6"/>
      <c r="P24" s="6"/>
      <c r="Q24" s="7"/>
      <c r="R24" s="7"/>
      <c r="S24" s="7"/>
      <c r="T24" s="6"/>
      <c r="U24" s="6"/>
      <c r="V24" s="7"/>
      <c r="W24" s="7"/>
      <c r="X24" s="7"/>
      <c r="Y24" s="6"/>
      <c r="Z24" s="6"/>
      <c r="AA24" s="8"/>
      <c r="AB24" s="6"/>
      <c r="AC24" s="8"/>
      <c r="AD24" s="6"/>
      <c r="AE24" s="9"/>
    </row>
    <row r="25" spans="1:31" x14ac:dyDescent="0.2">
      <c r="A25" s="6"/>
      <c r="B25" s="6"/>
      <c r="C25" s="6"/>
      <c r="D25" s="6"/>
      <c r="E25" s="6"/>
      <c r="F25" s="6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6"/>
      <c r="AA25" s="6"/>
      <c r="AB25" s="6"/>
      <c r="AC25" s="6"/>
      <c r="AD25" s="6"/>
      <c r="AE25" s="9"/>
    </row>
    <row r="26" spans="1:3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9"/>
    </row>
    <row r="27" spans="1:3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9"/>
    </row>
    <row r="28" spans="1:3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11"/>
      <c r="AA28" s="6"/>
      <c r="AB28" s="6"/>
      <c r="AC28" s="6"/>
      <c r="AD28" s="6"/>
      <c r="AE28" s="9"/>
    </row>
    <row r="29" spans="1:3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9"/>
    </row>
    <row r="30" spans="1:3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12"/>
    </row>
    <row r="31" spans="1:31" x14ac:dyDescent="0.2">
      <c r="A31" s="6"/>
      <c r="B31" s="6"/>
      <c r="C31" s="6"/>
      <c r="D31" s="6"/>
      <c r="E31" s="6"/>
      <c r="F31" s="6"/>
      <c r="G31" s="7"/>
      <c r="H31" s="7"/>
      <c r="I31" s="7"/>
      <c r="J31" s="6"/>
      <c r="K31" s="6"/>
      <c r="L31" s="7"/>
      <c r="M31" s="7"/>
      <c r="N31" s="7"/>
      <c r="O31" s="6"/>
      <c r="P31" s="6"/>
      <c r="Q31" s="7"/>
      <c r="R31" s="7"/>
      <c r="S31" s="7"/>
      <c r="T31" s="6"/>
      <c r="U31" s="6"/>
      <c r="V31" s="7"/>
      <c r="W31" s="7"/>
      <c r="X31" s="7"/>
      <c r="Y31" s="6"/>
      <c r="Z31" s="6"/>
      <c r="AA31" s="8"/>
      <c r="AB31" s="6"/>
      <c r="AC31" s="8"/>
      <c r="AD31" s="6"/>
      <c r="AE31" s="9"/>
    </row>
    <row r="32" spans="1:31" x14ac:dyDescent="0.2">
      <c r="A32" s="6"/>
      <c r="B32" s="6"/>
      <c r="C32" s="6"/>
      <c r="D32" s="6"/>
      <c r="E32" s="6"/>
      <c r="F32" s="6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6"/>
      <c r="AA32" s="6"/>
      <c r="AB32" s="6"/>
      <c r="AC32" s="6"/>
      <c r="AD32" s="6"/>
      <c r="AE32" s="9"/>
    </row>
    <row r="33" spans="1:3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9"/>
    </row>
    <row r="34" spans="1:3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9"/>
    </row>
    <row r="35" spans="1:3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11"/>
      <c r="AA35" s="6"/>
      <c r="AB35" s="6"/>
      <c r="AC35" s="6"/>
      <c r="AD35" s="6"/>
      <c r="AE35" s="9"/>
    </row>
    <row r="36" spans="1:3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9"/>
    </row>
    <row r="37" spans="1:3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12"/>
    </row>
    <row r="38" spans="1:31" x14ac:dyDescent="0.2">
      <c r="A38" s="6"/>
      <c r="B38" s="6"/>
      <c r="C38" s="6"/>
      <c r="D38" s="6"/>
      <c r="E38" s="6"/>
      <c r="F38" s="6"/>
      <c r="G38" s="7"/>
      <c r="H38" s="7"/>
      <c r="I38" s="7"/>
      <c r="J38" s="6"/>
      <c r="K38" s="6"/>
      <c r="L38" s="7"/>
      <c r="M38" s="7"/>
      <c r="N38" s="7"/>
      <c r="O38" s="6"/>
      <c r="P38" s="6"/>
      <c r="Q38" s="7"/>
      <c r="R38" s="7"/>
      <c r="S38" s="7"/>
      <c r="T38" s="6"/>
      <c r="U38" s="6"/>
      <c r="V38" s="7"/>
      <c r="W38" s="7"/>
      <c r="X38" s="7"/>
      <c r="Y38" s="6"/>
      <c r="Z38" s="6"/>
      <c r="AA38" s="8"/>
      <c r="AB38" s="6"/>
      <c r="AC38" s="8"/>
      <c r="AD38" s="6"/>
      <c r="AE38" s="13"/>
    </row>
    <row r="39" spans="1:31" x14ac:dyDescent="0.2">
      <c r="A39" s="6"/>
      <c r="B39" s="6"/>
      <c r="C39" s="6"/>
      <c r="D39" s="6"/>
      <c r="E39" s="6"/>
      <c r="F39" s="6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6"/>
      <c r="AA39" s="6"/>
      <c r="AB39" s="6"/>
      <c r="AC39" s="6"/>
      <c r="AD39" s="6"/>
      <c r="AE39" s="13"/>
    </row>
    <row r="40" spans="1:3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13"/>
    </row>
    <row r="41" spans="1:3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13"/>
    </row>
    <row r="42" spans="1:3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11"/>
      <c r="AA42" s="6"/>
      <c r="AB42" s="6"/>
      <c r="AC42" s="6"/>
      <c r="AD42" s="6"/>
      <c r="AE42" s="13"/>
    </row>
    <row r="43" spans="1:3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13"/>
    </row>
    <row r="44" spans="1:3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12"/>
    </row>
    <row r="45" spans="1:31" ht="34" customHeight="1" x14ac:dyDescent="0.2">
      <c r="A45" s="6"/>
      <c r="B45" s="6"/>
      <c r="C45" s="6"/>
      <c r="D45" s="6"/>
      <c r="E45" s="6"/>
      <c r="F45" s="6"/>
      <c r="G45" s="7"/>
      <c r="H45" s="7"/>
      <c r="I45" s="7"/>
      <c r="J45" s="6"/>
      <c r="K45" s="6"/>
      <c r="L45" s="7"/>
      <c r="M45" s="7"/>
      <c r="N45" s="7"/>
      <c r="O45" s="6"/>
      <c r="P45" s="6"/>
      <c r="Q45" s="7"/>
      <c r="R45" s="7"/>
      <c r="S45" s="7"/>
      <c r="T45" s="6"/>
      <c r="U45" s="6"/>
      <c r="V45" s="7"/>
      <c r="W45" s="7"/>
      <c r="X45" s="7"/>
      <c r="Y45" s="6"/>
      <c r="Z45" s="6"/>
      <c r="AA45" s="8"/>
      <c r="AB45" s="6"/>
      <c r="AC45" s="8"/>
      <c r="AD45" s="6"/>
      <c r="AE45" s="9"/>
    </row>
    <row r="46" spans="1:31" x14ac:dyDescent="0.2">
      <c r="A46" s="6"/>
      <c r="B46" s="6"/>
      <c r="C46" s="6"/>
      <c r="D46" s="6"/>
      <c r="E46" s="6"/>
      <c r="F46" s="6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6"/>
      <c r="AA46" s="6"/>
      <c r="AB46" s="6"/>
      <c r="AC46" s="6"/>
      <c r="AD46" s="6"/>
      <c r="AE46" s="9"/>
    </row>
    <row r="47" spans="1:3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9"/>
    </row>
    <row r="48" spans="1:3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9"/>
    </row>
    <row r="49" spans="1:3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11"/>
      <c r="AA49" s="6"/>
      <c r="AB49" s="6"/>
      <c r="AC49" s="6"/>
      <c r="AD49" s="6"/>
      <c r="AE49" s="9"/>
    </row>
    <row r="50" spans="1:3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9"/>
    </row>
    <row r="51" spans="1:3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12"/>
    </row>
    <row r="52" spans="1:31" x14ac:dyDescent="0.2">
      <c r="A52" s="6"/>
      <c r="B52" s="6"/>
      <c r="C52" s="6"/>
      <c r="D52" s="6"/>
      <c r="E52" s="6"/>
      <c r="F52" s="6"/>
      <c r="G52" s="7"/>
      <c r="H52" s="7"/>
      <c r="I52" s="7"/>
      <c r="J52" s="6"/>
      <c r="K52" s="6"/>
      <c r="L52" s="7"/>
      <c r="M52" s="7"/>
      <c r="N52" s="7"/>
      <c r="O52" s="6"/>
      <c r="P52" s="6"/>
      <c r="Q52" s="7"/>
      <c r="R52" s="7"/>
      <c r="S52" s="7"/>
      <c r="T52" s="6"/>
      <c r="U52" s="6"/>
      <c r="V52" s="7"/>
      <c r="W52" s="7"/>
      <c r="X52" s="7"/>
      <c r="Y52" s="6"/>
      <c r="Z52" s="6"/>
      <c r="AA52" s="8"/>
      <c r="AB52" s="6"/>
      <c r="AC52" s="8"/>
      <c r="AD52" s="6"/>
      <c r="AE52" s="9"/>
    </row>
    <row r="53" spans="1:31" x14ac:dyDescent="0.2">
      <c r="A53" s="6"/>
      <c r="B53" s="6"/>
      <c r="C53" s="6"/>
      <c r="D53" s="6"/>
      <c r="E53" s="6"/>
      <c r="F53" s="6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6"/>
      <c r="AA53" s="6"/>
      <c r="AB53" s="6"/>
      <c r="AC53" s="6"/>
      <c r="AD53" s="6"/>
      <c r="AE53" s="9"/>
    </row>
    <row r="54" spans="1:3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9"/>
    </row>
    <row r="55" spans="1:3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9"/>
    </row>
    <row r="56" spans="1:3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11"/>
      <c r="AA56" s="6"/>
      <c r="AB56" s="6"/>
      <c r="AC56" s="6"/>
      <c r="AD56" s="6"/>
      <c r="AE56" s="9"/>
    </row>
    <row r="57" spans="1:3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9"/>
    </row>
    <row r="58" spans="1:3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12"/>
    </row>
    <row r="59" spans="1:31" x14ac:dyDescent="0.2">
      <c r="A59" s="6"/>
      <c r="B59" s="6"/>
      <c r="C59" s="6"/>
      <c r="D59" s="6"/>
      <c r="E59" s="6"/>
      <c r="F59" s="6"/>
      <c r="G59" s="7"/>
      <c r="H59" s="7"/>
      <c r="I59" s="7"/>
      <c r="J59" s="6"/>
      <c r="K59" s="6"/>
      <c r="L59" s="7"/>
      <c r="M59" s="7"/>
      <c r="N59" s="7"/>
      <c r="O59" s="6"/>
      <c r="P59" s="6"/>
      <c r="Q59" s="7"/>
      <c r="R59" s="7"/>
      <c r="S59" s="7"/>
      <c r="T59" s="6"/>
      <c r="U59" s="6"/>
      <c r="V59" s="7"/>
      <c r="W59" s="7"/>
      <c r="X59" s="7"/>
      <c r="Y59" s="6"/>
      <c r="Z59" s="6"/>
      <c r="AA59" s="8"/>
      <c r="AB59" s="6"/>
      <c r="AC59" s="8"/>
      <c r="AD59" s="6"/>
      <c r="AE59" s="9"/>
    </row>
    <row r="60" spans="1:31" x14ac:dyDescent="0.2">
      <c r="A60" s="6"/>
      <c r="B60" s="6"/>
      <c r="C60" s="6"/>
      <c r="D60" s="6"/>
      <c r="E60" s="6"/>
      <c r="F60" s="6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6"/>
      <c r="AA60" s="6"/>
      <c r="AB60" s="6"/>
      <c r="AC60" s="6"/>
      <c r="AD60" s="6"/>
      <c r="AE60" s="9"/>
    </row>
    <row r="61" spans="1:3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9"/>
    </row>
    <row r="62" spans="1:3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9"/>
    </row>
    <row r="63" spans="1:3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11"/>
      <c r="AA63" s="6"/>
      <c r="AB63" s="6"/>
      <c r="AC63" s="6"/>
      <c r="AD63" s="6"/>
      <c r="AE63" s="9"/>
    </row>
    <row r="64" spans="1:3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9"/>
    </row>
    <row r="65" spans="1:3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</sheetData>
  <mergeCells count="39">
    <mergeCell ref="G17:I17"/>
    <mergeCell ref="L17:N17"/>
    <mergeCell ref="Q17:S17"/>
    <mergeCell ref="V17:X17"/>
    <mergeCell ref="Z3:AB3"/>
    <mergeCell ref="Z4:AB4"/>
    <mergeCell ref="G24:I24"/>
    <mergeCell ref="L24:N24"/>
    <mergeCell ref="Q24:S24"/>
    <mergeCell ref="V24:X24"/>
    <mergeCell ref="G31:I31"/>
    <mergeCell ref="L31:N31"/>
    <mergeCell ref="Q31:S31"/>
    <mergeCell ref="V31:X31"/>
    <mergeCell ref="G38:I38"/>
    <mergeCell ref="L38:N38"/>
    <mergeCell ref="Q38:S38"/>
    <mergeCell ref="V38:X38"/>
    <mergeCell ref="G45:I45"/>
    <mergeCell ref="L45:N45"/>
    <mergeCell ref="Q45:S45"/>
    <mergeCell ref="V45:X45"/>
    <mergeCell ref="G52:I52"/>
    <mergeCell ref="L52:N52"/>
    <mergeCell ref="Q52:S52"/>
    <mergeCell ref="V52:X52"/>
    <mergeCell ref="G59:I59"/>
    <mergeCell ref="L59:N59"/>
    <mergeCell ref="Q59:S59"/>
    <mergeCell ref="V59:X59"/>
    <mergeCell ref="AE59:AE64"/>
    <mergeCell ref="AE12:AG12"/>
    <mergeCell ref="AE13:AG13"/>
    <mergeCell ref="AE24:AE29"/>
    <mergeCell ref="AE17:AE22"/>
    <mergeCell ref="AE31:AE36"/>
    <mergeCell ref="AE38:AE43"/>
    <mergeCell ref="AE45:AE50"/>
    <mergeCell ref="AE52:AE57"/>
  </mergeCells>
  <pageMargins left="0.7" right="0.7" top="0.75" bottom="0.75" header="0.3" footer="0.3"/>
  <pageSetup paperSize="9" orientation="portrait" horizontalDpi="0" verticalDpi="0"/>
  <headerFooter>
    <oddHeader xml:space="preserve">&amp;C&amp;"System Font,обычный"&amp;10&amp;K000000Недовба Дмитрий Андреевич. Вариант 5. лаба5
</oddHeader>
    <oddFooter xml:space="preserve">&amp;C]24 ноября 2025 г. в 02:55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dstresdf@gmail.com</dc:creator>
  <cp:lastModifiedBy>dstresdf@gmail.com</cp:lastModifiedBy>
  <dcterms:created xsi:type="dcterms:W3CDTF">2025-11-23T22:20:09Z</dcterms:created>
  <dcterms:modified xsi:type="dcterms:W3CDTF">2025-11-24T16:15:51Z</dcterms:modified>
</cp:coreProperties>
</file>